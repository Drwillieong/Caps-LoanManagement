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635" windowHeight="8205" tabRatio="897" firstSheet="1" activeTab="1"/>
  </bookViews>
  <sheets>
    <sheet name="1.C. FT (OLASI)" sheetId="72" state="hidden" r:id="rId1"/>
    <sheet name="1.A. Loan Calculators(JACINTO)" sheetId="149" r:id="rId2"/>
    <sheet name="1.B. Loan-JACINTO" sheetId="150" r:id="rId3"/>
    <sheet name="1.C. FT (JACINTO)" sheetId="151" r:id="rId4"/>
    <sheet name="1. D Checks (JACINTO)" sheetId="152" r:id="rId5"/>
    <sheet name="Summary (LOANS)" sheetId="11" r:id="rId6"/>
    <sheet name="RCBC Acct No. (2)" sheetId="48" state="hidden" r:id="rId7"/>
  </sheets>
  <externalReferences>
    <externalReference r:id="rId8"/>
  </externalReferences>
  <definedNames>
    <definedName name="Beg_Bal" localSheetId="1">'1.A. Loan Calculators(JACINTO)'!$C$17:$C$497</definedName>
    <definedName name="Extra_Pay" localSheetId="1">'1.A. Loan Calculators(JACINTO)'!$E$17:$E$497</definedName>
    <definedName name="Int" localSheetId="1">'1.A. Loan Calculators(JACINTO)'!$H$17:$H$497</definedName>
    <definedName name="Interest_Rate" localSheetId="1">'1.A. Loan Calculators(JACINTO)'!$D$6</definedName>
    <definedName name="Interest_Rate" localSheetId="3">#REF!</definedName>
    <definedName name="Interest_Rate" localSheetId="0">#REF!</definedName>
    <definedName name="Interest_Rate" localSheetId="5">#REF!</definedName>
    <definedName name="Interest_Rate">#REF!</definedName>
    <definedName name="K" localSheetId="3">#REF!</definedName>
    <definedName name="K" localSheetId="0">#REF!</definedName>
    <definedName name="K" localSheetId="5">#REF!</definedName>
    <definedName name="K">#REF!</definedName>
    <definedName name="KL" localSheetId="3">#REF!</definedName>
    <definedName name="KL" localSheetId="0">#REF!</definedName>
    <definedName name="KL" localSheetId="5">#REF!</definedName>
    <definedName name="KL">#REF!</definedName>
    <definedName name="L" localSheetId="3">#REF!</definedName>
    <definedName name="L" localSheetId="0">#REF!</definedName>
    <definedName name="L" localSheetId="5">#REF!</definedName>
    <definedName name="L">#REF!</definedName>
    <definedName name="Last_Row" localSheetId="1">IF([1]TRIAL!Values_Entered,[1]TRIAL!Header_Row+[1]TRIAL!Number_of_Payments,[1]TRIAL!Header_Row)</definedName>
    <definedName name="Last_Row" localSheetId="6">IF([1]TRIAL!Values_Entered,[1]TRIAL!Header_Row+[1]TRIAL!Number_of_Payments,[1]TRIAL!Header_Row)</definedName>
    <definedName name="Loan_Amount" localSheetId="1">'1.A. Loan Calculators(JACINTO)'!$D$5</definedName>
    <definedName name="Loan_Amount" localSheetId="3">#REF!</definedName>
    <definedName name="Loan_Amount" localSheetId="0">#REF!</definedName>
    <definedName name="Loan_Amount" localSheetId="5">#REF!</definedName>
    <definedName name="Loan_Amount">#REF!</definedName>
    <definedName name="Loan_Start" localSheetId="1">'1.A. Loan Calculators(JACINTO)'!$D$9</definedName>
    <definedName name="Loan_Years" localSheetId="1">'1.A. Loan Calculators(JACINTO)'!$D$7</definedName>
    <definedName name="M" localSheetId="3">#REF!</definedName>
    <definedName name="M" localSheetId="0">#REF!</definedName>
    <definedName name="M" localSheetId="5">#REF!</definedName>
    <definedName name="M">#REF!</definedName>
    <definedName name="Num_Pmt_Per_Year" localSheetId="1">'1.A. Loan Calculators(JACINTO)'!$D$8</definedName>
    <definedName name="Num_Pmt_Per_Year" localSheetId="3">#REF!</definedName>
    <definedName name="Num_Pmt_Per_Year" localSheetId="0">#REF!</definedName>
    <definedName name="Num_Pmt_Per_Year" localSheetId="5">#REF!</definedName>
    <definedName name="Num_Pmt_Per_Year">#REF!</definedName>
    <definedName name="Number_of_Payments" localSheetId="1">MATCH(0.01,[1]TRIAL!End_Bal,-1)+1</definedName>
    <definedName name="Pay_Num" localSheetId="1">'1.A. Loan Calculators(JACINTO)'!$A$17:$A$497</definedName>
    <definedName name="Princ" localSheetId="1">'1.A. Loan Calculators(JACINTO)'!$G$17:$G$497</definedName>
    <definedName name="_xlnm.Print_Area" localSheetId="4">'1. D Checks (JACINTO)'!$A$1:$I$8</definedName>
    <definedName name="_xlnm.Print_Area" localSheetId="1">'1.A. Loan Calculators(JACINTO)'!$A$1:$K$64</definedName>
    <definedName name="_xlnm.Print_Area" localSheetId="2">'1.B. Loan-JACINTO'!$A$1:$H$63</definedName>
    <definedName name="_xlnm.Print_Area" localSheetId="3">'1.C. FT (JACINTO)'!$A$1:$E$11</definedName>
    <definedName name="_xlnm.Print_Area" localSheetId="0">'1.C. FT (OLASI)'!$A$1:$E$11</definedName>
    <definedName name="_xlnm.Print_Area" localSheetId="5">'Summary (LOANS)'!$A$1:$E$19</definedName>
    <definedName name="Sched_Pay" localSheetId="1">'1.A. Loan Calculators(JACINTO)'!$D$17:$D$497</definedName>
    <definedName name="Scheduled_Extra_Payments" localSheetId="1">'1.A. Loan Calculators(JACINTO)'!$D$10</definedName>
    <definedName name="Scheduled_Monthly_Payment" localSheetId="1">'1.A. Loan Calculators(JACINTO)'!$J$5</definedName>
    <definedName name="Scheduled_Monthly_Payment" localSheetId="3">#REF!</definedName>
    <definedName name="Scheduled_Monthly_Payment" localSheetId="0">#REF!</definedName>
    <definedName name="Scheduled_Monthly_Payment" localSheetId="5">#REF!</definedName>
    <definedName name="Scheduled_Monthly_Payment">#REF!</definedName>
    <definedName name="Total_Pay" localSheetId="1">'1.A. Loan Calculators(JACINTO)'!$F$17:$F$497</definedName>
    <definedName name="Values_Entered" localSheetId="1">IF([1]TRIAL!Loan_Amount*[1]TRIAL!Interest_Rate*[1]TRIAL!Loan_Years*[1]TRIAL!Loan_Start&gt;0,1,0)</definedName>
    <definedName name="Values_Entered" localSheetId="6">IF([1]TRIAL!Loan_Amount*[1]TRIAL!Interest_Rate*[1]TRIAL!Loan_Years*[1]TRIAL!Loan_Start&gt;0,1,0)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<sst xmlns="http://schemas.openxmlformats.org/spreadsheetml/2006/main" count="874" uniqueCount="868">
  <si>
    <t>1-306-132527</t>
  </si>
  <si>
    <t>LAGUNA ELECTRONICS INC MULTI-</t>
  </si>
  <si>
    <t>PURPOSE COOPERATIVE</t>
  </si>
  <si>
    <t>COOPERATIVE LOAN</t>
  </si>
  <si>
    <t>JOSE EDGARDO T. FESTEJO/ NORIEL L. PLAZA</t>
  </si>
  <si>
    <t>LEIMCO Loan Calculator</t>
  </si>
  <si>
    <t>Data of Loan</t>
  </si>
  <si>
    <t>Summary of Loan</t>
  </si>
  <si>
    <t>Loan Amount</t>
  </si>
  <si>
    <t>Payment per Schedule</t>
  </si>
  <si>
    <t>Annual interest rate</t>
  </si>
  <si>
    <t>Scheduled number of payments</t>
  </si>
  <si>
    <t>Loan Period (Years)</t>
  </si>
  <si>
    <t>Actual number of payments</t>
  </si>
  <si>
    <t>Number of payments per year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</si>
  <si>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</si>
  <si>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 early payments</t>
  </si>
  <si>
    <t>Loan Granted</t>
  </si>
  <si>
    <t>Total interest</t>
  </si>
  <si>
    <t>Optional Extra Payments (Optional)</t>
  </si>
  <si>
    <t>Name of Borrower :</t>
  </si>
  <si>
    <t>**JACINTO, EUFEMIO JOSE N.**</t>
  </si>
  <si>
    <t>Actual Interest Rate per Annum:</t>
  </si>
  <si>
    <t>Pmt. No.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</si>
  <si>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</si>
  <si>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</si>
  <si>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</si>
  <si>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</si>
  <si>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</si>
  <si>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</si>
  <si>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</si>
  <si>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</si>
  <si>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</si>
  <si>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Payee:</t>
  </si>
  <si>
    <t>Amount :</t>
  </si>
  <si>
    <t>**SIXTY SIX THOUSAND THREE HUNDRED SIXTY FIVE &amp; 40/100 ONLY**</t>
  </si>
  <si>
    <t>Amount in Words:</t>
  </si>
  <si>
    <t>Account Code</t>
  </si>
  <si>
    <t>Account Title</t>
  </si>
  <si>
    <t>Debit</t>
  </si>
  <si>
    <t>Credit</t>
  </si>
  <si>
    <t>A/R - Loans</t>
  </si>
  <si>
    <t>Other Income - Miscellaneous</t>
  </si>
  <si>
    <t>A/R - Tsukiden</t>
  </si>
  <si>
    <t>Interest Income - Loans</t>
  </si>
  <si>
    <t>Cash in Bank - RCBC S/A</t>
  </si>
  <si>
    <t>Total Debits/Credits</t>
  </si>
  <si>
    <t>PARTICULAR:</t>
  </si>
  <si>
    <t>(per cut-off)</t>
  </si>
  <si>
    <t>(per month)</t>
  </si>
  <si>
    <t>Prepared By:</t>
  </si>
  <si>
    <t>D. REMETIO</t>
  </si>
  <si>
    <t xml:space="preserve">Received By: </t>
  </si>
  <si>
    <t>Approved By:</t>
  </si>
  <si>
    <t>JETF / NLP / ECF</t>
  </si>
  <si>
    <t>Received Date:</t>
  </si>
  <si>
    <t>Check Number:</t>
  </si>
  <si>
    <t>Check Voucher Date:</t>
  </si>
  <si>
    <t>LAGUNA ELECTRONICS INC</t>
  </si>
  <si>
    <t>MULTI-PURPOSE COOPERATIVE</t>
  </si>
  <si>
    <t>J.FESTEJO / N.PLAZA / E.FILARCA</t>
  </si>
  <si>
    <t xml:space="preserve">  </t>
  </si>
  <si>
    <t>SUMMARY DETAILS</t>
  </si>
  <si>
    <t>PAYEE</t>
  </si>
  <si>
    <t>REMARKS</t>
  </si>
  <si>
    <t>AMOUNT</t>
  </si>
  <si>
    <t>COOPERATIVE LOAN (FUND TRANSFER)</t>
  </si>
  <si>
    <t>TOTAL CHECK AMOUNT</t>
  </si>
  <si>
    <t>ID No.</t>
  </si>
  <si>
    <t>Name</t>
  </si>
  <si>
    <t>Check Name</t>
  </si>
  <si>
    <t>RCBC Account No.</t>
  </si>
  <si>
    <t>SARMIENTO, SENEN M</t>
  </si>
  <si>
    <t>**SARMIENTO, SENEN M**</t>
  </si>
  <si>
    <t>ALCID, ALEXIA G</t>
  </si>
  <si>
    <t>**ALCID, ALEXIA G**</t>
  </si>
  <si>
    <t>ORBIGOSO, ROLLIE B</t>
  </si>
  <si>
    <t>**ORBIGOSO, ROLLIE B**</t>
  </si>
  <si>
    <t>PLAZA, NORIEL L</t>
  </si>
  <si>
    <t>**PLAZA, NORIEL L**</t>
  </si>
  <si>
    <t>YOSHIDA, KOJI</t>
  </si>
  <si>
    <t>**YOSHIDA, KOJI**</t>
  </si>
  <si>
    <t>FILARCA JR., EULOGIO C</t>
  </si>
  <si>
    <t>**FILARCA JR., EULOGIO C**</t>
  </si>
  <si>
    <t>LAMBIO, MAYLANIE G</t>
  </si>
  <si>
    <t>**LAMBIO, MAYLANIE G**</t>
  </si>
  <si>
    <t>KOMATSU, KENJI .</t>
  </si>
  <si>
    <t>**KOMATSU, KENJI .**</t>
  </si>
  <si>
    <t>EVANGELISTA, ROSALINDA P</t>
  </si>
  <si>
    <t>**EVANGELISTA, ROSALINDA P**</t>
  </si>
  <si>
    <t>DIMLA, RAYMOND P</t>
  </si>
  <si>
    <t>**DIMLA, RAYMOND P**</t>
  </si>
  <si>
    <t>ORBIGOSO, JOSENIA B</t>
  </si>
  <si>
    <t>**ORBIGOSO, JOSENIA B**</t>
  </si>
  <si>
    <t>ANTOLIN, ARNEL C</t>
  </si>
  <si>
    <t>**ANTOLIN, ARNEL C**</t>
  </si>
  <si>
    <t>ARCENAS, LUZVIMINDA C</t>
  </si>
  <si>
    <t>**ARCENAS, LUZVIMINDA C**</t>
  </si>
  <si>
    <t>ETAC, EDGARDO B</t>
  </si>
  <si>
    <t>**ETAC, EDGARDO B**</t>
  </si>
  <si>
    <t>SHINOZAKI, YUTAKA .</t>
  </si>
  <si>
    <t>**SHINOZAKI, YUTAKA .**</t>
  </si>
  <si>
    <t>BRACERO, JESSEBEL F</t>
  </si>
  <si>
    <t>**BRACERO, JESSEBEL F**</t>
  </si>
  <si>
    <t>DE CASTRO, KIETHELYN G.</t>
  </si>
  <si>
    <t>**DE CASTRO, KIETHELYN G.**</t>
  </si>
  <si>
    <t>FILLE, LOLITA H.</t>
  </si>
  <si>
    <t>**FILLE, LOLITA H.**</t>
  </si>
  <si>
    <t>ESTEVA, ALONA U.</t>
  </si>
  <si>
    <t>**ESTEVA, ALONA U.**</t>
  </si>
  <si>
    <t>CASTILLO, IRENE A.</t>
  </si>
  <si>
    <t>**CASTILLO, IRENE A.**</t>
  </si>
  <si>
    <t>CABOTE, MARK ANTHONY M.</t>
  </si>
  <si>
    <t>**CABOTE, MARK ANTHONY M.**</t>
  </si>
  <si>
    <t>ACMA, LOUIE H.</t>
  </si>
  <si>
    <t>**ACMA, LOUIE H.**</t>
  </si>
  <si>
    <t>GALLANO, MA. FILOMINA C.</t>
  </si>
  <si>
    <t>**GALLANO, MA. FILOMINA C.**</t>
  </si>
  <si>
    <t>ROZALDES, SHIELA MAE D.</t>
  </si>
  <si>
    <t>**ROZALDES, SHIELA MAE D.**</t>
  </si>
  <si>
    <t>DOMINGO, MELISA S.</t>
  </si>
  <si>
    <t>**DOMINGO, MELISA S.**</t>
  </si>
  <si>
    <t>ALEJANDRIA, MYRNA A.</t>
  </si>
  <si>
    <t>**ALEJANDRIA, MYRNA A.**</t>
  </si>
  <si>
    <t>DIMLA, PRECILLA P.</t>
  </si>
  <si>
    <t>**DIMLA, PRECILLA P.**</t>
  </si>
  <si>
    <t>GUARIÑO, MARILYN C.</t>
  </si>
  <si>
    <t>**GUARIÑO, MARILYN C.**</t>
  </si>
  <si>
    <t>LUCIDO JR., RODRIGO A.</t>
  </si>
  <si>
    <t>**LUCIDO JR., RODRIGO A.**</t>
  </si>
  <si>
    <t>BASUAN, SEGUNDINA C.</t>
  </si>
  <si>
    <t>**BASUAN, SEGUNDINA C.**</t>
  </si>
  <si>
    <t>CANALES, VILMA S.</t>
  </si>
  <si>
    <t>**CANALES, VILMA S.**</t>
  </si>
  <si>
    <t>DELA TORRE, CEFERINA N.</t>
  </si>
  <si>
    <t>**DELA TORRE, CEFERINA N.**</t>
  </si>
  <si>
    <t>SANCHEZ, MARITES D.</t>
  </si>
  <si>
    <t>**SANCHEZ, MARITES D.**</t>
  </si>
  <si>
    <t>BICO, ROWEL D.</t>
  </si>
  <si>
    <t>**BICO, ROWEL D.**</t>
  </si>
  <si>
    <t>ODPER, MILKA H.</t>
  </si>
  <si>
    <t>**ODPER, MILKA H.**</t>
  </si>
  <si>
    <t>BORROMEO, CHERRY D.</t>
  </si>
  <si>
    <t>**BORROMEO, CHERRY D.**</t>
  </si>
  <si>
    <t>CRISOL, EMILY C.</t>
  </si>
  <si>
    <t>**CRISOL, EMILY C.**</t>
  </si>
  <si>
    <t>MARIÑAS, ZORAYDA B.</t>
  </si>
  <si>
    <t>**MARIÑAS, ZORAYDA B.**</t>
  </si>
  <si>
    <t>BAGUIPO, BLESSILDA S.</t>
  </si>
  <si>
    <t>**BAGUIPO, BLESSILDA S.**</t>
  </si>
  <si>
    <t>PECHO, NORA S.</t>
  </si>
  <si>
    <t>**PECHO, NORA S.**</t>
  </si>
  <si>
    <t>PESIGAN, EDZEL R.</t>
  </si>
  <si>
    <t>**PESIGAN, EDZEL R.**</t>
  </si>
  <si>
    <t>PANGANIBAN, RICHELLE B.</t>
  </si>
  <si>
    <t>**PANGANIBAN, RICHELLE B.**</t>
  </si>
  <si>
    <t>CANATOY, JADE MARGARET C.</t>
  </si>
  <si>
    <t>**CANATOY, JADE MARGARET C.**</t>
  </si>
  <si>
    <t>ARQUILLO, ROANN B.</t>
  </si>
  <si>
    <t>**ARQUILLO, ROANN B.**</t>
  </si>
  <si>
    <t>SUELTO, IRENE C.</t>
  </si>
  <si>
    <t>**SUELTO, IRENE C.**</t>
  </si>
  <si>
    <t>CARENAN, MARIA S.</t>
  </si>
  <si>
    <t>**CARENAN, MARIA S.**</t>
  </si>
  <si>
    <t>NUFRADA, RHODORA P.</t>
  </si>
  <si>
    <t>**NUFRADA, RHODORA P.**</t>
  </si>
  <si>
    <t>FULLANTE, GLENDA G.</t>
  </si>
  <si>
    <t>**FULLANTE, GLENDA G.**</t>
  </si>
  <si>
    <t>SUAREZ, CHARLENE JOY T.</t>
  </si>
  <si>
    <t>**SUAREZ, CHARLENE JOY T.**</t>
  </si>
  <si>
    <t>AMPARADO, ROMMEL A.</t>
  </si>
  <si>
    <t>**AMPARADO, ROMMEL A.**</t>
  </si>
  <si>
    <t>REMETIO, DAISY M.</t>
  </si>
  <si>
    <t>**REMETIO, DAISY M.**</t>
  </si>
  <si>
    <t>PADILLO, RIZHIL LIZA J.</t>
  </si>
  <si>
    <t>**PADILLO, RIZHIL LIZA J.**</t>
  </si>
  <si>
    <t>CUA, CARINA L.</t>
  </si>
  <si>
    <t>**CUA, CARINA L.**</t>
  </si>
  <si>
    <t>YONGCO, ANAMIE M.</t>
  </si>
  <si>
    <t>**YONGCO, ANAMIE M.**</t>
  </si>
  <si>
    <t>BALANGUE, MELANIE P.</t>
  </si>
  <si>
    <t>**BALANGUE, MELANIE P.**</t>
  </si>
  <si>
    <t>NAHIL, MICHELLE B.</t>
  </si>
  <si>
    <t>**NAHIL, MICHELLE B.**</t>
  </si>
  <si>
    <t>EBREO, NILO G.</t>
  </si>
  <si>
    <t>**EBREO, NILO G.**</t>
  </si>
  <si>
    <t>TAYCO, LEONARD G.</t>
  </si>
  <si>
    <t>**TAYCO, LEONARD G.**</t>
  </si>
  <si>
    <t>FESTEJO, JOSE EDGARDO T.</t>
  </si>
  <si>
    <t>**FESTEJO, JOSE EDGARDO T.**</t>
  </si>
  <si>
    <t>BALITAAN, MAYZELLE G.</t>
  </si>
  <si>
    <t>**BALITAAN, MAYZELLE G.**</t>
  </si>
  <si>
    <t>ENRIQUEZ, MARIA THERESA M.</t>
  </si>
  <si>
    <t>**ENRIQUEZ, MARIA THERESA M.**</t>
  </si>
  <si>
    <t>PEREZ, ALONA R.</t>
  </si>
  <si>
    <t>**PEREZ, ALONA R.**</t>
  </si>
  <si>
    <t>NABO, LUCITA B.</t>
  </si>
  <si>
    <t>**NABO, LUCITA B.**</t>
  </si>
  <si>
    <t>QUISIQUISI, JOSEPHINE M.</t>
  </si>
  <si>
    <t>**QUISIQUISI, JOSEPHINE M.**</t>
  </si>
  <si>
    <t>ZORILLA, MARY GRACE G.</t>
  </si>
  <si>
    <t>**ZORILLA, MARY GRACE G.**</t>
  </si>
  <si>
    <t>LALONG-ISIP, WHILMA S.</t>
  </si>
  <si>
    <t>**LALONG-ISIP, WHILMA S.**</t>
  </si>
  <si>
    <t>CAS, AIRAH M.</t>
  </si>
  <si>
    <t>**CAS, AIRAH M.**</t>
  </si>
  <si>
    <t>LAGULA, ZANDRA S.</t>
  </si>
  <si>
    <t>**LAGULA, ZANDRA S.**</t>
  </si>
  <si>
    <t>PANGHULAN, YVETTE CARLA C.</t>
  </si>
  <si>
    <t>**PANGHULAN, YVETTE CARLA C.**</t>
  </si>
  <si>
    <t>AMURAO, LIZA A.</t>
  </si>
  <si>
    <t>**AMURAO, LIZA A.**</t>
  </si>
  <si>
    <t>LABALAN, JIMUEL B.</t>
  </si>
  <si>
    <t>**LABALAN, JIMUEL B.**</t>
  </si>
  <si>
    <t>ENCINA, TERESITA D.</t>
  </si>
  <si>
    <t>**ENCINA, TERESITA D.**</t>
  </si>
  <si>
    <t>NATIVIDAD, CATHERINE V.</t>
  </si>
  <si>
    <t>**NATIVIDAD, CATHERINE V.**</t>
  </si>
  <si>
    <t>PUNAY, MERCY D.</t>
  </si>
  <si>
    <t>**PUNAY, MERCY D.**</t>
  </si>
  <si>
    <t>FELICIANO, ROWENA A.</t>
  </si>
  <si>
    <t>**FELICIANO, ROWENA A.**</t>
  </si>
  <si>
    <t>OLAER SR., CASINO T.</t>
  </si>
  <si>
    <t>**OLAER SR., CASINO T.**</t>
  </si>
  <si>
    <t>ESCOBER, MARLYM U.</t>
  </si>
  <si>
    <t>**ESCOBER, MARLYM U.**</t>
  </si>
  <si>
    <t>DELA CRUZ, CECILIA F.</t>
  </si>
  <si>
    <t>**DELA CRUZ, CECILIA F.**</t>
  </si>
  <si>
    <t>DE LA CRUZ, MARLON L.</t>
  </si>
  <si>
    <t>**DE LA CRUZ, MARLON L.**</t>
  </si>
  <si>
    <t>NANTES, JOCELYN F.</t>
  </si>
  <si>
    <t>**NANTES, JOCELYN F.**</t>
  </si>
  <si>
    <t>LEONIDA, ARMAN D.</t>
  </si>
  <si>
    <t>**LEONIDA, ARMAN D.**</t>
  </si>
  <si>
    <t>SALVATIERRA, JANICE C.</t>
  </si>
  <si>
    <t>**SALVATIERRA, JANICE C.**</t>
  </si>
  <si>
    <t>CAMANGON, FLORINDA G.</t>
  </si>
  <si>
    <t>**CAMANGON, FLORINDA G.**</t>
  </si>
  <si>
    <t>DE VILLA, JULIETA C.</t>
  </si>
  <si>
    <t>**DE VILLA, JULIETA C.**</t>
  </si>
  <si>
    <t>SANCHEZ, GARRY A.</t>
  </si>
  <si>
    <t>**SANCHEZ, GARRY A.**</t>
  </si>
  <si>
    <t>TOLENTINO, JOCELYN M.</t>
  </si>
  <si>
    <t>**TOLENTINO, JOCELYN M.**</t>
  </si>
  <si>
    <t>DELLOVA, JOSEPHINE O.</t>
  </si>
  <si>
    <t>**DELLOVA, JOSEPHINE O.**</t>
  </si>
  <si>
    <t>LERA, MINERVA P.</t>
  </si>
  <si>
    <t>**LERA, MINERVA P.**</t>
  </si>
  <si>
    <t>ALANO, MARITES D.</t>
  </si>
  <si>
    <t>**ALANO, MARITES D.**</t>
  </si>
  <si>
    <t>ABAPO, GERALDINE A.</t>
  </si>
  <si>
    <t>**ABAPO, GERALDINE A.**</t>
  </si>
  <si>
    <t>DE HITTA, ANABEL A.</t>
  </si>
  <si>
    <t>**DE HITTA, ANABEL A.**</t>
  </si>
  <si>
    <t>MAALA, ENISANTA L.</t>
  </si>
  <si>
    <t>**MAALA, ENISANTA L.**</t>
  </si>
  <si>
    <t>SALARIA, MARY GRACE R.</t>
  </si>
  <si>
    <t>**SALARIA, MARY GRACE R.**</t>
  </si>
  <si>
    <t>PARABOLES, ANALYN A.</t>
  </si>
  <si>
    <t>**PARABOLES, ANALYN A.**</t>
  </si>
  <si>
    <t>ADVINCULA, AIZA B.</t>
  </si>
  <si>
    <t>**ADVINCULA, AIZA B.**</t>
  </si>
  <si>
    <t>NAVERA, JOCELYN M.</t>
  </si>
  <si>
    <t>**NAVERA, JOCELYN M.**</t>
  </si>
  <si>
    <t>SERADOR, MA. JESSA R.</t>
  </si>
  <si>
    <t>**SERADOR, MA. JESSA R.**</t>
  </si>
  <si>
    <t>MANALANG, VENUS MELODY V.</t>
  </si>
  <si>
    <t>**MANALANG, VENUS MELODY V.**</t>
  </si>
  <si>
    <t>AMARANTE, MARY GRACE A.</t>
  </si>
  <si>
    <t>**AMARANTE, MARY GRACE A.**</t>
  </si>
  <si>
    <t>DE JESUS, JOSEPHINE P.</t>
  </si>
  <si>
    <t>**DE JESUS, JOSEPHINE P.**</t>
  </si>
  <si>
    <t>BENGUA, RUBY V.</t>
  </si>
  <si>
    <t>**BENGUA, RUBY V.**</t>
  </si>
  <si>
    <t>NOTARIO, REBECCA O.</t>
  </si>
  <si>
    <t>**NOTARIO, REBECCA O.**</t>
  </si>
  <si>
    <t>GRANDE, JOHN FERDINAN E.</t>
  </si>
  <si>
    <t>**GRANDE, JOHN FERDINAN E.**</t>
  </si>
  <si>
    <t>YERRO III, EUGENIO C.</t>
  </si>
  <si>
    <t>**YERRO III, EUGENIO C.**</t>
  </si>
  <si>
    <t>JAVELOSA, ANDREA E.</t>
  </si>
  <si>
    <t>**JAVELOSA, ANDREA E.**</t>
  </si>
  <si>
    <t>ASIDERA, NELIA C.</t>
  </si>
  <si>
    <t>**ASIDERA, NELIA C.**</t>
  </si>
  <si>
    <t>TOBIAS, CHERIL D.</t>
  </si>
  <si>
    <t>**TOBIAS, CHERIL D.**</t>
  </si>
  <si>
    <t>BARTOLOME, JOCELYN F.</t>
  </si>
  <si>
    <t>**BARTOLOME, JOCELYN F.**</t>
  </si>
  <si>
    <t>VALERIO, LUISA O.</t>
  </si>
  <si>
    <t>**VALERIO, LUISA O.**</t>
  </si>
  <si>
    <t>PALSIMON, CRISTINA D.</t>
  </si>
  <si>
    <t>**PALSIMON, CRISTINA D.**</t>
  </si>
  <si>
    <t>PASENCIA, ERLINIA C.</t>
  </si>
  <si>
    <t>**PASENCIA, ERLINIA C.**</t>
  </si>
  <si>
    <t>JAVIER, ELVIE D.</t>
  </si>
  <si>
    <t>**JAVIER, ELVIE D.**</t>
  </si>
  <si>
    <t>PIZARRA, NIMFA M.</t>
  </si>
  <si>
    <t>**PIZARRA, NIMFA M.**</t>
  </si>
  <si>
    <t>MARPURI, CHERRYLO M.</t>
  </si>
  <si>
    <t>**MARPURI, CHERRYLO M.**</t>
  </si>
  <si>
    <t>ENGUERRA, ARLYN D.</t>
  </si>
  <si>
    <t>**ENGUERRA, ARLYN D.**</t>
  </si>
  <si>
    <t>BATUSIS, MARILYN E.</t>
  </si>
  <si>
    <t>**BATUSIS, MARILYN E.**</t>
  </si>
  <si>
    <t>OLASI, EMILY D.</t>
  </si>
  <si>
    <t>**OLASI, EMILY D.**</t>
  </si>
  <si>
    <t>JIMENEZ, VILMA I.</t>
  </si>
  <si>
    <t>**JIMENEZ, VILMA I.**</t>
  </si>
  <si>
    <t>FERRER, KAREN ARIES B.</t>
  </si>
  <si>
    <t>**FERRER, KAREN ARIES B.**</t>
  </si>
  <si>
    <t>LONGASA, GONDILINO B.</t>
  </si>
  <si>
    <t>**LONGASA, GONDILINO B.**</t>
  </si>
  <si>
    <t>FLORANZA, REGINA B.</t>
  </si>
  <si>
    <t>**FLORANZA, REGINA B.**</t>
  </si>
  <si>
    <t>ABERIN, RODALYN J.</t>
  </si>
  <si>
    <t>**ABERIN, RODALYN J.**</t>
  </si>
  <si>
    <t>REQUINTO, AMALIA N.</t>
  </si>
  <si>
    <t>**REQUINTO, AMALIA N.**</t>
  </si>
  <si>
    <t>HORCA, ESTER R.</t>
  </si>
  <si>
    <t>**HORCA, ESTER R.**</t>
  </si>
  <si>
    <t>ERMITA, JESSIE JOY NHESTIE D.</t>
  </si>
  <si>
    <t>**ERMITA, JESSIE JOY NHESTIE D.**</t>
  </si>
  <si>
    <t>ESTEVA, MA. ANA LEA P.</t>
  </si>
  <si>
    <t>**ESTEVA, MA. ANA LEA P.**</t>
  </si>
  <si>
    <t>ANGELES, JOCELYN V.</t>
  </si>
  <si>
    <t>**ANGELES, JOCELYN V.**</t>
  </si>
  <si>
    <t>LABRADA, VIOLETA T.</t>
  </si>
  <si>
    <t>**LABRADA, VIOLETA T.**</t>
  </si>
  <si>
    <t>VILLAHERMOSA, JANITA P.</t>
  </si>
  <si>
    <t>**VILLAHERMOSA, JANITA P.**</t>
  </si>
  <si>
    <t>GUEVARRA, RANDY M.</t>
  </si>
  <si>
    <t>**GUEVARRA, RANDY M.**</t>
  </si>
  <si>
    <t>BORBON, PETRA B.</t>
  </si>
  <si>
    <t>**BORBON, PETRA B.**</t>
  </si>
  <si>
    <t>DOMETITA, REMEDIOS L.</t>
  </si>
  <si>
    <t>**DOMETITA, REMEDIOS L.**</t>
  </si>
  <si>
    <t>RICABLANCA, DIANNE LYN R.</t>
  </si>
  <si>
    <t>**RICABLANCA, DIANNE LYN R.**</t>
  </si>
  <si>
    <t>FRILLES, JENNY D.</t>
  </si>
  <si>
    <t>**FRILLES, JENNY D.**</t>
  </si>
  <si>
    <t>PABRICIO, ALEX A.</t>
  </si>
  <si>
    <t>**PABRICIO, ALEX A.**</t>
  </si>
  <si>
    <t>CAYA, JOSIMAR A.</t>
  </si>
  <si>
    <t>**CAYA, JOSIMAR A.**</t>
  </si>
  <si>
    <t>ORTEGA, CRISTINA M.</t>
  </si>
  <si>
    <t>**ORTEGA, CRISTINA M.**</t>
  </si>
  <si>
    <t>CALINGASAN, CELICIDAD R.</t>
  </si>
  <si>
    <t>**CALINGASAN, CELICIDAD R.**</t>
  </si>
  <si>
    <t>CASTILLO, MARIA CONCEPCION U.</t>
  </si>
  <si>
    <t>**CASTILLO, MARIA CONCEPCION U.**</t>
  </si>
  <si>
    <t>BRACERO, JESSEBEL F.</t>
  </si>
  <si>
    <t>**BRACERO, JESSEBEL F.**</t>
  </si>
  <si>
    <t>LACTAWAN, MARIVIC B.</t>
  </si>
  <si>
    <t>**LACTAWAN, MARIVIC B.**</t>
  </si>
  <si>
    <t>FERNANDEZ, CATHERINE F.</t>
  </si>
  <si>
    <t>**FERNANDEZ, CATHERINE F.**</t>
  </si>
  <si>
    <t>REOLA, DAISY R.</t>
  </si>
  <si>
    <t>**REOLA, DAISY R.**</t>
  </si>
  <si>
    <t>FRANCO, MARIANNE D.</t>
  </si>
  <si>
    <t>**FRANCO, MARIANNE D.**</t>
  </si>
  <si>
    <t>AQUINO, CYNTHIA D.</t>
  </si>
  <si>
    <t>**AQUINO, CYNTHIA D.**</t>
  </si>
  <si>
    <t>DEPANTE, ALLAN A.</t>
  </si>
  <si>
    <t>**DEPANTE, ALLAN A.**</t>
  </si>
  <si>
    <t>BADILLA JR., REMEGIO L.</t>
  </si>
  <si>
    <t>**BADILLA JR., REMEGIO L.**</t>
  </si>
  <si>
    <t>SANCHEZ, VIRGINIA A.</t>
  </si>
  <si>
    <t>**SANCHEZ, VIRGINIA A.**</t>
  </si>
  <si>
    <t>SINGIAN, GRACITA P.</t>
  </si>
  <si>
    <t>**SINGIAN, GRACITA P.**</t>
  </si>
  <si>
    <t>CABALLERO, BELEN Q.</t>
  </si>
  <si>
    <t>**CABALLERO, BELEN Q.**</t>
  </si>
  <si>
    <t>ANDAL, ROVILLA S.</t>
  </si>
  <si>
    <t>**ANDAL, ROVILLA S.**</t>
  </si>
  <si>
    <t>LOPEZ, ROLANDO P.</t>
  </si>
  <si>
    <t>**LOPEZ, ROLANDO P.**</t>
  </si>
  <si>
    <t>JAURIGUE, JOAN V.</t>
  </si>
  <si>
    <t>**JAURIGUE, JOAN V.**</t>
  </si>
  <si>
    <t>PASTORFIDE, ARLENE C.</t>
  </si>
  <si>
    <t>**PASTORFIDE, ARLENE C.**</t>
  </si>
  <si>
    <t>BUENDIA, ELIZABETH E.</t>
  </si>
  <si>
    <t>**BUENDIA, ELIZABETH E.**</t>
  </si>
  <si>
    <t>ESCONDE, RAQUEL P.</t>
  </si>
  <si>
    <t>**ESCONDE, RAQUEL P.**</t>
  </si>
  <si>
    <t>DAJANG, ANABELLE A.</t>
  </si>
  <si>
    <t>**DAJANG, ANABELLE A.**</t>
  </si>
  <si>
    <t>DE ASIS, ARTEMIA M.</t>
  </si>
  <si>
    <t>**DE ASIS, ARTEMIA M.**</t>
  </si>
  <si>
    <t>ZABALA, CARINA M.</t>
  </si>
  <si>
    <t>**ZABALA, CARINA M.**</t>
  </si>
  <si>
    <t>LAVADIA, MA. CECILIA R.</t>
  </si>
  <si>
    <t>**LAVADIA, MA. CECILIA R.**</t>
  </si>
  <si>
    <t>AMBAS, IMELDA G.</t>
  </si>
  <si>
    <t>**AMBAS, IMELDA G.**</t>
  </si>
  <si>
    <t>LOPEZ, ELOISA B.</t>
  </si>
  <si>
    <t>**LOPEZ, ELOISA B.**</t>
  </si>
  <si>
    <t>DE LEON, VERONICA E.</t>
  </si>
  <si>
    <t>**DE LEON, VERONICA E.**</t>
  </si>
  <si>
    <t>LAJO, PRINCER JOAN L.</t>
  </si>
  <si>
    <t>**LAJO, PRINCER JOAN L.**</t>
  </si>
  <si>
    <t>EBORA, MARGARITA M.</t>
  </si>
  <si>
    <t>**EBORA, MARGARITA M.**</t>
  </si>
  <si>
    <t>SAN PASCUAL, JULIET M.</t>
  </si>
  <si>
    <t>**SAN PASCUAL, JULIET M.**</t>
  </si>
  <si>
    <t>MARQUEZ, JULIE B.</t>
  </si>
  <si>
    <t>**MARQUEZ, JULIE B.**</t>
  </si>
  <si>
    <t>VELANDO, LUZ R.</t>
  </si>
  <si>
    <t>**VELANDO, LUZ R.**</t>
  </si>
  <si>
    <t>DULA, MARK JOSEPH T.</t>
  </si>
  <si>
    <t>**DULA, MARK JOSEPH T.**</t>
  </si>
  <si>
    <t>NATIVIDAD, RINALYN L.</t>
  </si>
  <si>
    <t>**NATIVIDAD, RINALYN L.**</t>
  </si>
  <si>
    <t>GARCIA, JEFFREY T.</t>
  </si>
  <si>
    <t>**GARCIA, JEFFREY T.**</t>
  </si>
  <si>
    <t>GARCIA, JAMES C.</t>
  </si>
  <si>
    <t>**GARCIA, JAMES C.**</t>
  </si>
  <si>
    <t>MANDALUNES, MARCELA V.</t>
  </si>
  <si>
    <t>**MANDALUNES, MARCELA V.**</t>
  </si>
  <si>
    <t>MAGADA, FEDERICK JOHN M.</t>
  </si>
  <si>
    <t>**MAGADA, FEDERICK JOHN M.**</t>
  </si>
  <si>
    <t>PAGADORA, MARK JOSEPH M.</t>
  </si>
  <si>
    <t>**PAGADORA, MARK JOSEPH M.**</t>
  </si>
  <si>
    <t>LAJO, NEMIA L.</t>
  </si>
  <si>
    <t>**LAJO, NEMIA L.**</t>
  </si>
  <si>
    <t>TEJERO, ANALYN J.</t>
  </si>
  <si>
    <t>**TEJERO, ANALYN J.**</t>
  </si>
  <si>
    <t>CUATE, JASON S.</t>
  </si>
  <si>
    <t>**CUATE, JASON S.**</t>
  </si>
  <si>
    <t>DECEPEDA, JASMIN M.</t>
  </si>
  <si>
    <t>**DECEPEDA, JASMIN M.**</t>
  </si>
  <si>
    <t>PORSONA, ESPEROSE N.</t>
  </si>
  <si>
    <t>**PORSONA, ESPEROSE N.**</t>
  </si>
  <si>
    <t>OLAGUER, NOIME H.</t>
  </si>
  <si>
    <t>**OLAGUER, NOIME H.**</t>
  </si>
  <si>
    <t>AUSTRIA, JAYLENIE E.</t>
  </si>
  <si>
    <t>**AUSTRIA, JAYLENIE E.**</t>
  </si>
  <si>
    <t>MARTINEZ, CHELA A.</t>
  </si>
  <si>
    <t>**MARTINEZ, CHELA A.**</t>
  </si>
  <si>
    <t>BALANE, MARY ANN R.</t>
  </si>
  <si>
    <t>**BALANE, MARY ANN R.**</t>
  </si>
  <si>
    <t>MACALINDONG, JENNIE S.</t>
  </si>
  <si>
    <t>**MACALINDONG, JENNIE S.**</t>
  </si>
  <si>
    <t>SEBOLINO, LIEZEL D.</t>
  </si>
  <si>
    <t>**SEBOLINO, LIEZEL D.**</t>
  </si>
  <si>
    <t>RUFON, ANALY T.</t>
  </si>
  <si>
    <t>**RUFON, ANALY T.**</t>
  </si>
  <si>
    <t>VILLAGANAS, GRACE A.</t>
  </si>
  <si>
    <t>**VILLAGANAS, GRACE A.**</t>
  </si>
  <si>
    <t>LABADOR, MARITESS A.</t>
  </si>
  <si>
    <t>**LABADOR, MARITESS A.**</t>
  </si>
  <si>
    <t>MAYO, JONNA MAE D.</t>
  </si>
  <si>
    <t>**MAYO, JONNA MAE D.**</t>
  </si>
  <si>
    <t>ALMADA, LORNA G.</t>
  </si>
  <si>
    <t>**ALMADA, LORNA G.**</t>
  </si>
  <si>
    <t>DESTACAMENTO, GRACE G.</t>
  </si>
  <si>
    <t>**DESTACAMENTO, GRACE G.**</t>
  </si>
  <si>
    <t>VALLESTERO, JOHN CYRUS A.</t>
  </si>
  <si>
    <t>**VALLESTERO, JOHN CYRUS A.**</t>
  </si>
  <si>
    <t>VERGARA, RALPH JAY D.</t>
  </si>
  <si>
    <t>**VERGARA, RALPH JAY D.**</t>
  </si>
  <si>
    <t>LAYAG, MARIA LEONORA L.</t>
  </si>
  <si>
    <t>**LAYAG, MARIA LEONORA L.**</t>
  </si>
  <si>
    <t>ARAOS, MARY JANE R.</t>
  </si>
  <si>
    <t>**ARAOS, MARY JANE R.**</t>
  </si>
  <si>
    <t>LOPEZ, NEDELYN M.</t>
  </si>
  <si>
    <t>**LOPEZ, NEDELYN M.**</t>
  </si>
  <si>
    <t>FELIAS, TEODORICA C.</t>
  </si>
  <si>
    <t>**FELIAS, TEODORICA C.**</t>
  </si>
  <si>
    <t>BALSOTE, JERALD M.</t>
  </si>
  <si>
    <t>**BALSOTE, JERALD M.**</t>
  </si>
  <si>
    <t>COMIA, ALFREDO B.</t>
  </si>
  <si>
    <t>**COMIA, ALFREDO B.**</t>
  </si>
  <si>
    <t>AREVALO, CAROLYN E.</t>
  </si>
  <si>
    <t>**AREVALO, CAROLYN E.**</t>
  </si>
  <si>
    <t>SAMSON, CRISTINE L.</t>
  </si>
  <si>
    <t>**SAMSON, CRISTINE L.**</t>
  </si>
  <si>
    <t>CANDELARIA, MERLY B.</t>
  </si>
  <si>
    <t>**CANDELARIA, MERLY B.**</t>
  </si>
  <si>
    <t>TIBAYAN, RECHIEL L.</t>
  </si>
  <si>
    <t>**TIBAYAN, RECHIEL L.**</t>
  </si>
  <si>
    <t>MAGNAYE, LIEZL C.</t>
  </si>
  <si>
    <t>**MAGNAYE, LIEZL C.**</t>
  </si>
  <si>
    <t>CAMANIA, KARL ANGELO G.</t>
  </si>
  <si>
    <t>**CAMANIA, KARL ANGELO G.**</t>
  </si>
  <si>
    <t>SAMONTE, NORVIN D.</t>
  </si>
  <si>
    <t>**SAMONTE, NORVIN D.**</t>
  </si>
  <si>
    <t>AGUINALDO, ANGELINA D.</t>
  </si>
  <si>
    <t>**AGUINALDO, ANGELINA D.**</t>
  </si>
  <si>
    <t>POLONIA, MARK ANTHONY A.</t>
  </si>
  <si>
    <t>**POLONIA, MARK ANTHONY A.**</t>
  </si>
  <si>
    <t>NABEJAS, ARGEL D.</t>
  </si>
  <si>
    <t>**NABEJAS, ARGEL D.**</t>
  </si>
  <si>
    <t>NUÑEZ, MA. THERESA E.</t>
  </si>
  <si>
    <t>**NUÑEZ, MA. THERESA E.**</t>
  </si>
  <si>
    <t>LAGULA, MANILYN B.</t>
  </si>
  <si>
    <t>**LAGULA, MANILYN B.**</t>
  </si>
  <si>
    <t>ALMAYAN, MA. CONCEPCION C.</t>
  </si>
  <si>
    <t>**ALMAYAN, MA. CONCEPCION C.**</t>
  </si>
  <si>
    <t>YATCO, ALDIN P.</t>
  </si>
  <si>
    <t>**YATCO, ALDIN P.**</t>
  </si>
  <si>
    <t>MUIT, LYNLIE JOIE R.</t>
  </si>
  <si>
    <t>**MUIT, LYNLIE JOIE R.**</t>
  </si>
  <si>
    <t>SINGSON, CLEODEN A.</t>
  </si>
  <si>
    <t>**SINGSON, CLEODEN A.**</t>
  </si>
  <si>
    <t>LARAÑO, CRISTINE F.</t>
  </si>
  <si>
    <t>**LARAÑO, CRISTINE F.**</t>
  </si>
  <si>
    <t>DELGADO, EMILY A.</t>
  </si>
  <si>
    <t>**DELGADO, EMILY A.**</t>
  </si>
  <si>
    <t>GENAVIA, MELISSA J.</t>
  </si>
  <si>
    <t>**GENAVIA, MELISSA J.**</t>
  </si>
  <si>
    <t>OLLERES, HEIDY S.</t>
  </si>
  <si>
    <t>**OLLERES, HEIDY S.**</t>
  </si>
  <si>
    <t>VITERBO, DARREL R.</t>
  </si>
  <si>
    <t>**VITERBO, DARREL R.**</t>
  </si>
  <si>
    <t>DEQUILLA, NORMAN G.</t>
  </si>
  <si>
    <t>**DEQUILLA, NORMAN G.**</t>
  </si>
  <si>
    <t>CABE, CHENA MARIE D.</t>
  </si>
  <si>
    <t>**CABE, CHENA MARIE D.**</t>
  </si>
  <si>
    <t>VALENCIA, FREDELYN L.</t>
  </si>
  <si>
    <t>**VALENCIA, FREDELYN L.**</t>
  </si>
  <si>
    <t>GUARINO, ANGEL MAE J.</t>
  </si>
  <si>
    <t>**GUARINO, ANGEL MAE J.**</t>
  </si>
  <si>
    <t>TABARINA, RONNEL C.</t>
  </si>
  <si>
    <t>**TABARINA, RONNEL C.**</t>
  </si>
  <si>
    <t>DELOS REYES, BABYLYN M.</t>
  </si>
  <si>
    <t>**DELOS REYES, BABYLYN M.**</t>
  </si>
  <si>
    <t>REGALADO, RICHELLE ANNE F.</t>
  </si>
  <si>
    <t>**REGALADO, RICHELLE ANNE F.**</t>
  </si>
  <si>
    <t>CALZITA, MA. ROWENA D.</t>
  </si>
  <si>
    <t>**CALZITA, MA. ROWENA D.**</t>
  </si>
  <si>
    <t>ESTRELLA, MALONE M.</t>
  </si>
  <si>
    <t>**ESTRELLA, MALONE M.**</t>
  </si>
  <si>
    <t>PEREZ, ANGELINE M.</t>
  </si>
  <si>
    <t>**PEREZ, ANGELINE M.**</t>
  </si>
  <si>
    <t>PEREZ, LOUIE JAEN G.</t>
  </si>
  <si>
    <t>**PEREZ, LOUIE JAEN G.**</t>
  </si>
  <si>
    <t>ONAYAN, JOAN O.</t>
  </si>
  <si>
    <t>**ONAYAN, JOAN O.**</t>
  </si>
  <si>
    <t>ROPEREZ, JOCELYN L.</t>
  </si>
  <si>
    <t>**ROPEREZ, JOCELYN L.**</t>
  </si>
  <si>
    <t>SALOTSO, LIEZEL S.</t>
  </si>
  <si>
    <t>**SALOTSO, LIEZEL S.**</t>
  </si>
  <si>
    <t>VILLALOBOS, JOHN REY B.</t>
  </si>
  <si>
    <t>**VILLALOBOS, JOHN REY B.**</t>
  </si>
  <si>
    <t>MAGSINO, ANGELLE V.</t>
  </si>
  <si>
    <t>**MAGSINO, ANGELLE V.**</t>
  </si>
  <si>
    <t>CORBADURA, CHARLENE C.</t>
  </si>
  <si>
    <t>**CORBADURA, CHARLENE C.**</t>
  </si>
  <si>
    <t>SALES, NOELITO P.</t>
  </si>
  <si>
    <t>**SALES, NOELITO P.**</t>
  </si>
  <si>
    <t>AGUILAR, CHARLENE FAYE S.</t>
  </si>
  <si>
    <t>**AGUILAR, CHARLENE FAYE S.**</t>
  </si>
  <si>
    <t>CAPUA, ANGELA MAE D.</t>
  </si>
  <si>
    <t>**CAPUA, ANGELA MAE D.**</t>
  </si>
  <si>
    <t>MARTINEZ, MA VANESSA G.</t>
  </si>
  <si>
    <t>**MARTINEZ, MA VANESSA G.**</t>
  </si>
  <si>
    <t>REOFRIR, BERNADETTE P.</t>
  </si>
  <si>
    <t>**REOFRIR, BERNADETTE P.**</t>
  </si>
  <si>
    <t>TOLENTINO, CATHRINE P.</t>
  </si>
  <si>
    <t>**TOLENTINO, CATHRINE P.**</t>
  </si>
  <si>
    <t>ABAL, HAROLD JAKE R.</t>
  </si>
  <si>
    <t>**ABAL, HAROLD JAKE R.**</t>
  </si>
  <si>
    <t>MENDONES, NANETTE R.</t>
  </si>
  <si>
    <t>**MENDONES, NANETTE R.**</t>
  </si>
  <si>
    <t>PERMEJO, ARSENIA P.</t>
  </si>
  <si>
    <t>**PERMEJO, ARSENIA P.**</t>
  </si>
  <si>
    <t>GUYAGON, EDMON A.</t>
  </si>
  <si>
    <t>**GUYAGON, EDMON A.**</t>
  </si>
  <si>
    <t>TORREGOSA, ROSALINA B.</t>
  </si>
  <si>
    <t>**TORREGOSA, ROSALINA B.**</t>
  </si>
  <si>
    <t>ABELAR, RUBILYN R.</t>
  </si>
  <si>
    <t>**ABELAR, RUBILYN R.**</t>
  </si>
  <si>
    <t>CRUZ, NERAN L.</t>
  </si>
  <si>
    <t>**CRUZ, NERAN L.**</t>
  </si>
  <si>
    <t>BAY, MISAEL ANDRE L.</t>
  </si>
  <si>
    <t>**BAY, MISAEL ANDRE L.**</t>
  </si>
  <si>
    <t>ROSAL, MARIBETH M.</t>
  </si>
  <si>
    <t>**ROSAL, MARIBETH M.**</t>
  </si>
  <si>
    <t>SEASOL, SHERYL I.</t>
  </si>
  <si>
    <t>**SEASOL, SHERYL I.**</t>
  </si>
  <si>
    <t>ARAUBAN, MARICEL P.</t>
  </si>
  <si>
    <t>**ARAUBAN, MARICEL P.**</t>
  </si>
  <si>
    <t>SAMSON, MA. KAREN AFRA B.</t>
  </si>
  <si>
    <t>**SAMSON, MA. KAREN AFRA B.**</t>
  </si>
  <si>
    <t>FACIOLAN, JOHN REY S.</t>
  </si>
  <si>
    <t>**FACIOLAN, JOHN REY S.**</t>
  </si>
  <si>
    <t>DE LA VEGA, XAM E.</t>
  </si>
  <si>
    <t>**DE LA VEGA, XAM E.**</t>
  </si>
  <si>
    <t xml:space="preserve">ABOYABOR, ROGER </t>
  </si>
  <si>
    <t>**ABOYABOR, ROGER **</t>
  </si>
  <si>
    <t>YATCO, JOHN LEMUEL D.</t>
  </si>
  <si>
    <t>**YATCO, JOHN LEMUEL D.**</t>
  </si>
  <si>
    <t>CUNANAN, MARIANNE V.</t>
  </si>
  <si>
    <t>**CUNANAN, MARIANNE V.**</t>
  </si>
  <si>
    <t>BORCELANGO, MARISSA T.</t>
  </si>
  <si>
    <t>**BORCELANGO, MARISSA T.**</t>
  </si>
  <si>
    <t>DUÑO, MARIELLE JOY B.</t>
  </si>
  <si>
    <t>**DUÑO, MARIELLE JOY B.**</t>
  </si>
  <si>
    <t>COLOMA, CYNTHIA R.</t>
  </si>
  <si>
    <t>**COLOMA, CYNTHIA R.**</t>
  </si>
  <si>
    <t>CAUYAN, VIANCA MHERYLL F.</t>
  </si>
  <si>
    <t>**CAUYAN, VIANCA MHERYLL F.**</t>
  </si>
  <si>
    <t>ROTONE, MICHAEL B.</t>
  </si>
  <si>
    <t>**ROTONE, MICHAEL B.**</t>
  </si>
  <si>
    <t>JACINTO, EUFEMIO JOSE N.</t>
  </si>
  <si>
    <t>GONZALES, EMILY P.</t>
  </si>
  <si>
    <t>**GONZALES, EMILY P.**</t>
  </si>
  <si>
    <t>PAÑA, JAY-MAR C.</t>
  </si>
  <si>
    <t>**PAÑA, JAY-MAR C.**</t>
  </si>
  <si>
    <t>VILLAJUAN, KRISHARITZ S.</t>
  </si>
  <si>
    <t>**VILLAJUAN, KRISHARITZ S.**</t>
  </si>
  <si>
    <t>GONZALES, ALDRIECH WAYNE R.</t>
  </si>
  <si>
    <t>**GONZALES, ALDRIECH WAYNE R.**</t>
  </si>
  <si>
    <t>ORTEGA, CARLOS DAVE D.</t>
  </si>
  <si>
    <t>**ORTEGA, CARLOS DAVE D.**</t>
  </si>
  <si>
    <t>MALABANAN, JOHN PAUL S.</t>
  </si>
  <si>
    <t>**MALABANAN, JOHN PAUL S.**</t>
  </si>
  <si>
    <t>ZORILLA, JP JOSE C.</t>
  </si>
  <si>
    <t>**ZORILLA, JP JOSE C.**</t>
  </si>
  <si>
    <t>ACEBO, CAROLYN P.</t>
  </si>
  <si>
    <t>**ACEBO, CAROLYN P.**</t>
  </si>
  <si>
    <t>DALISAY, REYMARK V.</t>
  </si>
  <si>
    <t>**DALISAY, REYMARK V.**</t>
  </si>
  <si>
    <t>PARADINA, RENZO M.</t>
  </si>
  <si>
    <t>**PARADINA, RENZO M.**</t>
  </si>
  <si>
    <t>MAGSINO, SHAIRA MAY O.</t>
  </si>
  <si>
    <t>**MAGSINO, SHAIRA MAY O.**</t>
  </si>
  <si>
    <t>BERNARTE, GENE EDWARD V.</t>
  </si>
  <si>
    <t>**BERNARTE, GENE EDWARD V.**</t>
  </si>
  <si>
    <t>GUTIERREZ, JOCHELLE C.</t>
  </si>
  <si>
    <t>**GUTIERREZ, JOCHELLE C.**</t>
  </si>
  <si>
    <t>MONTEZA, JENNIFER M.</t>
  </si>
  <si>
    <t>**MONTEZA, JENNIFER M.**</t>
  </si>
  <si>
    <t>PINEDA, LENIE JEAN M.</t>
  </si>
  <si>
    <t>**PINEDA, LENIE JEAN M.**</t>
  </si>
  <si>
    <t>AGENA, VILMA CLARET N.</t>
  </si>
  <si>
    <t>**AGENA, VILMA CLARET N.**</t>
  </si>
  <si>
    <t>LABANA CRUZ, JESSA P.</t>
  </si>
  <si>
    <t>**LABANA CRUZ, JESSA P.**</t>
  </si>
  <si>
    <t>FADRIGON, JOHN RIELL F.</t>
  </si>
  <si>
    <t>**FADRIGON, JOHN RIELL F.**</t>
  </si>
  <si>
    <t>LAZARO, MARY JOY D.</t>
  </si>
  <si>
    <t>**LAZARO, MARY JOY D.**</t>
  </si>
  <si>
    <t>OLIGAN, EDNA J.</t>
  </si>
  <si>
    <t>**OLIGAN, EDNA J.**</t>
  </si>
  <si>
    <t>TUALA, MARIEL A.</t>
  </si>
  <si>
    <t>**TUALA, MARIEL A.**</t>
  </si>
  <si>
    <t>LAYAG, EUNICE R.</t>
  </si>
  <si>
    <t>**LAYAG, EUNICE R.**</t>
  </si>
  <si>
    <t>HANGAD, SOFIA MAE M.</t>
  </si>
  <si>
    <t>**HANGAD, SOFIA MAE M.**</t>
  </si>
  <si>
    <t>CRUZ, DONN ANGELO B.</t>
  </si>
  <si>
    <t>**CRUZ, DONN ANGELO B.**</t>
  </si>
  <si>
    <t>GONZALES, RHEA P.</t>
  </si>
  <si>
    <t>**GONZALES, RHEA P.**</t>
  </si>
  <si>
    <t>RIVERA, ROSEZETH I.</t>
  </si>
  <si>
    <t>**RIVERA, ROSEZETH I.**</t>
  </si>
  <si>
    <t>ORDONIO, DANIEL N.</t>
  </si>
  <si>
    <t>**ORDONIO, DANIEL N.**</t>
  </si>
  <si>
    <t>MALIZON, JERAN KEISSE A.</t>
  </si>
  <si>
    <t>**MALIZON, JERAN KEISSE A.**</t>
  </si>
  <si>
    <t>ESPELETA, RENZ RAYMART A.</t>
  </si>
  <si>
    <t>**ESPELETA, RENZ RAYMART A.**</t>
  </si>
  <si>
    <t>ILAG, ARVIN E.</t>
  </si>
  <si>
    <t>**ILAG, ARVIN E.**</t>
  </si>
  <si>
    <t>GARCIA, ANTONIEL M.</t>
  </si>
  <si>
    <t>**GARCIA, ANTONIEL M.**</t>
  </si>
  <si>
    <t>GOMEZ, MARK ANTHONY ..</t>
  </si>
  <si>
    <t>**GOMEZ, MARK ANTHONY ..**</t>
  </si>
  <si>
    <t>HERNANDEZ, RODANNY O.</t>
  </si>
  <si>
    <t>**HERNANDEZ, RODANNY O.**</t>
  </si>
  <si>
    <t>DARANG, ILKA KATHLEEN D.</t>
  </si>
  <si>
    <t>**DARANG, ILKA KATHLEEN D.**</t>
  </si>
  <si>
    <t>RUGAS, ERLENE R.</t>
  </si>
  <si>
    <t>**RUGAS, ERLENE R.**</t>
  </si>
  <si>
    <t>SOLIS, ALMA P.</t>
  </si>
  <si>
    <t>**SOLIS, ALMA P.**</t>
  </si>
  <si>
    <t>HITEROZA, MARY JOY E.</t>
  </si>
  <si>
    <t>**HITEROZA, MARY JOY E.**</t>
  </si>
  <si>
    <t>CLERIGO, JOSE LORENZO B.</t>
  </si>
  <si>
    <t>**CLERIGO, JOSE LORENZO B.**</t>
  </si>
  <si>
    <t>BANOSONG, KATE MAUREEN ..</t>
  </si>
  <si>
    <t>**BANOSONG, KATE MAUREEN ..**</t>
  </si>
  <si>
    <t>DIOQUINO, JOHN MICHAEL M.</t>
  </si>
  <si>
    <t>**DIOQUINO, JOHN MICHAEL M.**</t>
  </si>
  <si>
    <t>CATCHUELA, NIÑO D.</t>
  </si>
  <si>
    <t>**CATCHUELA, NIÑO D.**</t>
  </si>
  <si>
    <t>BERJAMIN, MARIBEL B.</t>
  </si>
  <si>
    <t>**BERJAMIN, MARIBEL B.**</t>
  </si>
  <si>
    <t>RAMIREZ, ROSEVIE A.</t>
  </si>
  <si>
    <t>**RAMIREZ, ROSEVIE A.**</t>
  </si>
  <si>
    <t>SAN JUAN, JONAS ENRICO B.</t>
  </si>
  <si>
    <t>**SAN JUAN, JONAS ENRICO B.**</t>
  </si>
  <si>
    <t>FELICILDA, ESMERALDA C.</t>
  </si>
  <si>
    <t>**FELICILDA, ESMERALDA C.**</t>
  </si>
  <si>
    <t>GAMEZ, JAMES RODOLF A.</t>
  </si>
  <si>
    <t>**GAMEZ, JAMES RODOLF A.**</t>
  </si>
  <si>
    <t>ALZONA, MIKE JESS E.</t>
  </si>
  <si>
    <t>**ALZONA, MIKE JESS E.**</t>
  </si>
  <si>
    <t>RAMIREZ, EDELBERTO C.</t>
  </si>
  <si>
    <t>**RAMIREZ, EDELBERTO C.**</t>
  </si>
  <si>
    <t>PUJEDA, GISELLE S.</t>
  </si>
  <si>
    <t>**PUJEDA, GISELLE S.**</t>
  </si>
  <si>
    <t>ALCANTARA, JEZELLE D.</t>
  </si>
  <si>
    <t>**ALCANTARA, JEZELLE D.**</t>
  </si>
  <si>
    <t>IGLUPAS, HANNA INA R.</t>
  </si>
  <si>
    <t>**IGLUPAS, HANNA INA R.**</t>
  </si>
  <si>
    <t>ARELLANO, ANALYN L.</t>
  </si>
  <si>
    <t>**ARELLANO, ANALYN L.**</t>
  </si>
  <si>
    <t>ALPUERTO, JELMALYN M.</t>
  </si>
  <si>
    <t>**ALPUERTO, JELMALYN M.**</t>
  </si>
  <si>
    <t>LUMANGLAS, ALYHANA JANE U.</t>
  </si>
  <si>
    <t>**LUMANGLAS, ALYHANA JANE U.**</t>
  </si>
  <si>
    <t>CENDING, LORENZO C.</t>
  </si>
  <si>
    <t>**CENDING, LORENZO C.**</t>
  </si>
  <si>
    <t xml:space="preserve">BLANCO, JUSTINE ELOISE </t>
  </si>
  <si>
    <t>**BLANCO, JUSTINE ELOISE **</t>
  </si>
  <si>
    <t>GARCIA, JOHN PAUL C.</t>
  </si>
  <si>
    <t>**GARCIA, JOHN PAUL C.**</t>
  </si>
  <si>
    <t>PADRONES, GILBERT JANUS E.</t>
  </si>
  <si>
    <t>**PADRONES, GILBERT JANUS E.**</t>
  </si>
  <si>
    <t>REGIO, DECEBEL M.</t>
  </si>
  <si>
    <t>**REGIO, DECEBEL M.**</t>
  </si>
  <si>
    <t>JIMENEZ, ARVIE J.</t>
  </si>
  <si>
    <t>**JIMENEZ, ARVIE J.**</t>
  </si>
  <si>
    <t>DE LA PEÑA, CHRISTIAN I.</t>
  </si>
  <si>
    <t>**DE LA PEÑA, CHRISTIAN I.**</t>
  </si>
  <si>
    <t>PACLIBAR, DIANARA E.</t>
  </si>
  <si>
    <t>**PACLIBAR, DIANARA E.**</t>
  </si>
  <si>
    <t>MOLINA, TRISHA MAE Z.</t>
  </si>
  <si>
    <t>**MOLINA, TRISHA MAE Z.**</t>
  </si>
  <si>
    <t>DE LA CRUZ, AUBREY P.</t>
  </si>
  <si>
    <t>**DE LA CRUZ, AUBREY P.**</t>
  </si>
  <si>
    <t>SORIA, GMELYN B.</t>
  </si>
  <si>
    <t>**SORIA, GMELYN B.**</t>
  </si>
  <si>
    <t>NALANGAN, MARK LYNDYLL D.</t>
  </si>
  <si>
    <t>**NALANGAN, MARK LYNDYLL D.**</t>
  </si>
  <si>
    <t>DIMAGUILA, JASMIN ROSE L.</t>
  </si>
  <si>
    <t>**DIMAGUILA, JASMIN ROSE L.**</t>
  </si>
  <si>
    <t>ATENTAR, LLEANA ERICA J.</t>
  </si>
  <si>
    <t>**ATENTAR, LLEANA ERICA J.**</t>
  </si>
  <si>
    <t>NACION, JHAY-EM N.</t>
  </si>
  <si>
    <t>**NACION, JHAY-EM N.**</t>
  </si>
  <si>
    <t>DACURAN, ANDREA JOY T.</t>
  </si>
  <si>
    <t>**DACURAN, ANDREA JOY T.**</t>
  </si>
  <si>
    <t xml:space="preserve">HILARIO, PRINCESS ANN </t>
  </si>
  <si>
    <t>**HILARIO, PRINCESS ANN **</t>
  </si>
  <si>
    <t>RUBI, ABEGUEL P.</t>
  </si>
  <si>
    <t>**RUBI, ABEGUEL P.**</t>
  </si>
  <si>
    <t>MAGTULOY, ERMIL ..</t>
  </si>
  <si>
    <t>**MAGTULOY, ERMIL ..**</t>
  </si>
  <si>
    <t>TABLIZO, JAN ANTONIO T.</t>
  </si>
  <si>
    <t>**TABLIZO, JAN ANTONIO T.**</t>
  </si>
  <si>
    <t>ARQUINES, ROSEMARIE N.</t>
  </si>
  <si>
    <t>**ARQUINES, ROSEMARIE N.**</t>
  </si>
  <si>
    <t>RODRIGUEZ, KYLA PEARL G.</t>
  </si>
  <si>
    <t>**RODRIGUEZ, KYLA PEARL G.**</t>
  </si>
  <si>
    <t>MORALES, VANESSA U.</t>
  </si>
  <si>
    <t>**MORALES, VANESSA U.**</t>
  </si>
  <si>
    <t>FERNANDEZ, MEGHANN C.</t>
  </si>
  <si>
    <t>**FERNANDEZ, MEGHANN C.**</t>
  </si>
  <si>
    <t>IGNACIO, JOSHUA NICO M.</t>
  </si>
  <si>
    <t>**IGNACIO, JOSHUA NICO M.**</t>
  </si>
  <si>
    <t>GALLAMORA, REYMARK T.</t>
  </si>
  <si>
    <t>**GALLAMORA, REYMARK T.**</t>
  </si>
  <si>
    <t>ANDAYA, FRANCO M.</t>
  </si>
  <si>
    <t>**ANDAYA, FRANCO M.**</t>
  </si>
  <si>
    <t>ALMAZAN, MARK MARVIN B.</t>
  </si>
  <si>
    <t>**ALMAZAN, MARK MARVIN B.**</t>
  </si>
  <si>
    <t>GOLONG, MARY JOY L.</t>
  </si>
  <si>
    <t>**GOLONG, MARY JOY L.**</t>
  </si>
  <si>
    <t>GUARDIAN, ABIGAEL S.</t>
  </si>
  <si>
    <t>**GUARDIAN, ABIGAEL S.**</t>
  </si>
  <si>
    <t>MINGO, JOHN MICHAEL D.</t>
  </si>
  <si>
    <t>**MINGO, JOHN MICHAEL D.**</t>
  </si>
  <si>
    <t>CONTRADOR, CLARENCE NICOLAS G.</t>
  </si>
  <si>
    <t>**CONTRADOR, CLARENCE NICOLAS G.**</t>
  </si>
  <si>
    <t>BUENSALIDA, MARICEL D.</t>
  </si>
  <si>
    <t>**BUENSALIDA, MARICEL D.**</t>
  </si>
  <si>
    <t>DE GUZMAN, JACQUELYN D.</t>
  </si>
  <si>
    <t>**DE GUZMAN, JACQUELYN D.**</t>
  </si>
  <si>
    <t>ROSARIO, JEAN ANDREW A.</t>
  </si>
  <si>
    <t>**ROSARIO, JEAN ANDREW A.**</t>
  </si>
  <si>
    <t>BASBAS, JENNY ROSE A.</t>
  </si>
  <si>
    <t>**BASBAS, JENNY ROSE A.**</t>
  </si>
  <si>
    <t>MANTALA, LYKA MARIE A.</t>
  </si>
  <si>
    <t>**MANTALA, LYKA MARIE A.**</t>
  </si>
  <si>
    <t>REYES, BIANCA PAULINE L.</t>
  </si>
  <si>
    <t>**REYES, BIANCA PAULINE L.**</t>
  </si>
  <si>
    <t>RIVERA, CAVIN PAUL A.</t>
  </si>
  <si>
    <t>**RIVERA, CAVIN PAUL A.**</t>
  </si>
  <si>
    <t>REPATACODO, NICK Z.</t>
  </si>
  <si>
    <t>**REPATACODO, NICK Z.**</t>
  </si>
  <si>
    <t>CASI, JAPHET EM R.</t>
  </si>
  <si>
    <t>**CASI, JAPHET EM R.**</t>
  </si>
  <si>
    <t>ESPANIO, RAIZA T.</t>
  </si>
  <si>
    <t>**ESPANIO, RAIZA T.**</t>
  </si>
  <si>
    <t xml:space="preserve">ILAG, PRINCESS </t>
  </si>
  <si>
    <t>**ILAG, PRINCESS **</t>
  </si>
  <si>
    <t>SALARIA, MARK A'RTAGNAN T.</t>
  </si>
  <si>
    <t>**SALARIA, MARK A'RTAGNAN T.**</t>
  </si>
  <si>
    <t>PASTULERO, CHRISTIAN JOSEPH A.</t>
  </si>
  <si>
    <t>**PASTULERO, CHRISTIAN JOSEPH A.**</t>
  </si>
  <si>
    <t>ANIT, LEONARD M.</t>
  </si>
  <si>
    <t>**ANIT, LEONARD M.**</t>
  </si>
  <si>
    <t>ALFONSO, CHRISTIAN C.</t>
  </si>
  <si>
    <t>**ALFONSO, CHRISTIAN C.**</t>
  </si>
  <si>
    <t>DESPI, CHRISTIAN D.</t>
  </si>
  <si>
    <t>**DESPI, CHRISTIAN D.**</t>
  </si>
  <si>
    <t>GUTIERREZ, CHRIS JOHN B.</t>
  </si>
  <si>
    <t>**GUTIERREZ, CHRIS JOHN B.**</t>
  </si>
  <si>
    <t>PATIGAS, JILL CRISTY C.</t>
  </si>
  <si>
    <t>**PATIGAS, JILL CRISTY C.**</t>
  </si>
  <si>
    <t>CARATAO, SHEILLA LYN C.</t>
  </si>
  <si>
    <t>**CARATAO, SHEILLA LYN C.**</t>
  </si>
  <si>
    <t>SUBIDO, JESSA FAYE B.</t>
  </si>
  <si>
    <t>**SUBIDO, JESSA FAYE B.**</t>
  </si>
  <si>
    <t>CARUMAY, CAINA B.</t>
  </si>
  <si>
    <t>**CARUMAY, CAINA B.**</t>
  </si>
  <si>
    <t>ARANDA, REGINE CHRISTI ANNE L.</t>
  </si>
  <si>
    <t>**ARANDA, REGINE CHRISTI ANNE L.**</t>
  </si>
  <si>
    <t>DAO, IKE P.</t>
  </si>
  <si>
    <t>**DAO, IKE P.**</t>
  </si>
  <si>
    <t>ALMENANZA, RISA A.</t>
  </si>
  <si>
    <t>**ALMENANZA, RISA A.**</t>
  </si>
  <si>
    <t>DECHAVEZ, PRINCESS CATHERINE D.</t>
  </si>
  <si>
    <t>**DECHAVEZ, PRINCESS CATHERINE D.**</t>
  </si>
  <si>
    <t>PEREZ, IMEE MAY A.</t>
  </si>
  <si>
    <t>**PEREZ, IMEE MAY A.**</t>
  </si>
  <si>
    <t>SALE, CLEOFE MARIE C.</t>
  </si>
  <si>
    <t>**SALE, CLEOFE MARIE C.**</t>
  </si>
  <si>
    <t>FERNANDEZ, JAIRUS ISAIHS R.</t>
  </si>
  <si>
    <t>**FERNANDEZ, JAIRUS ISAIHS R.**</t>
  </si>
  <si>
    <t>GERON, VENICE V.</t>
  </si>
  <si>
    <t>**GERON, VENICE V.**</t>
  </si>
  <si>
    <t>OLIVARIO, MC RONEL P.</t>
  </si>
  <si>
    <t>**OLIVARIO, MC RONEL P.**</t>
  </si>
  <si>
    <t>CATALLA, ZEUS MARTIN P.</t>
  </si>
  <si>
    <t>**CATALLA, ZEUS MARTIN P.**</t>
  </si>
  <si>
    <t>ABENDAN, KRISTINA GRACE B.</t>
  </si>
  <si>
    <t>**ABENDAN, KRISTINA GRACE B.**</t>
  </si>
  <si>
    <t>ALEGRE, MEL BERT O.</t>
  </si>
  <si>
    <t>**ALEGRE, MEL BERT O.**</t>
  </si>
  <si>
    <t>BINALUYO, KRISTINE JOY B.</t>
  </si>
  <si>
    <t>**BINALUYO, KRISTINE JOY B.**</t>
  </si>
  <si>
    <t>MANZANO, JESSA MAE C.</t>
  </si>
  <si>
    <t>**MANZANO, JESSA MAE C.**</t>
  </si>
  <si>
    <t>BENICO, KRISHALAINE L.</t>
  </si>
  <si>
    <t>**BENICO, KRISHALAINE L.**</t>
  </si>
  <si>
    <t>ALMIRA, TRISHA ANGELINE M.</t>
  </si>
  <si>
    <t>**ALMIRA, TRISHA ANGELINE M.**</t>
  </si>
  <si>
    <t>MAYANI, DENNIS C.</t>
  </si>
  <si>
    <t>**MAYANI, DENNIS C.**</t>
  </si>
  <si>
    <t>MIGA, CHRISTIAN JEZHMAEL C.</t>
  </si>
  <si>
    <t>**MIGA, CHRISTIAN JEZHMAEL C.**</t>
  </si>
  <si>
    <t>LARON, ROSALIE L.</t>
  </si>
  <si>
    <t>**LARON, ROSALIE L.**</t>
  </si>
  <si>
    <t>GARGANTA, PAUL JOHN RICEL V.</t>
  </si>
  <si>
    <t>**GARGANTA, PAUL JOHN RICEL V.**</t>
  </si>
  <si>
    <t>BRUCA, SARAH JOY B.</t>
  </si>
  <si>
    <t>**BRUCA, SARAH JOY B.**</t>
  </si>
  <si>
    <t>BERNABE, JOYCE CAMILLE C.</t>
  </si>
  <si>
    <t>**BERNABE, JOYCE CAMILLE C.**</t>
  </si>
  <si>
    <t>OCBA, JOVEL V.</t>
  </si>
  <si>
    <t>**OCBA, JOVEL V.**</t>
  </si>
  <si>
    <t>**MAGDAONG, JOBEL**</t>
  </si>
  <si>
    <t>**JESORO, PRINCESS GIE V.**</t>
  </si>
  <si>
    <t>9024431253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</si>
</sst>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-* #,##0_-;\-* #,##0_-;_-* &quot;-&quot;_-;_-@_-"/>
    <numFmt numFmtId="42" formatCode="_-&quot;₱&quot;* #,##0_-;\-&quot;₱&quot;* #,##0_-;_-&quot;₱&quot;* &quot;-&quot;_-;_-@_-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mmmm\ dd&quot;, &quot;yyyy"/>
    <numFmt numFmtId="179" formatCode="\ \ mm\ \ \ \ \ \ \ \ dd\ \ \ \ \ \ \ yyyy"/>
    <numFmt numFmtId="180" formatCode="[$₱-3409]#,##0.00"/>
    <numFmt numFmtId="181" formatCode="_([$PHP]\ * #,##0.00_);_([$PHP]\ * \(#,##0.00\);_([$PHP]\ * &quot;-&quot;??_);_(@_)"/>
    <numFmt numFmtId="182" formatCode="[$-409]mmmm\ d\,\ yyyy;@"/>
    <numFmt numFmtId="183" formatCode="[$-F400]h:mm:ss\ AM/PM"/>
    <numFmt numFmtId="184" formatCode="[$₱-464]#,##0.00"/>
    <numFmt numFmtId="185" formatCode="&quot;₱&quot;#,##0.00"/>
    <numFmt numFmtId="186" formatCode="0.00?%_)"/>
    <numFmt numFmtId="187" formatCode="0_)"/>
  </numFmts>
  <fonts count="74">
    <font>
      <sz val="9"/>
      <color theme="1"/>
      <name val="Times New Roman"/>
      <charset val="134"/>
    </font>
    <font>
      <sz val="9"/>
      <color indexed="8"/>
      <name val="Times New Roman"/>
      <charset val="134"/>
    </font>
    <font>
      <b/>
      <sz val="9"/>
      <color theme="0"/>
      <name val="Times New Roman"/>
      <charset val="134"/>
    </font>
    <font>
      <b/>
      <u/>
      <sz val="9"/>
      <color rgb="FF0000FF"/>
      <name val="Times New Roman"/>
      <charset val="134"/>
    </font>
    <font>
      <sz val="9"/>
      <name val="Times New Roman"/>
      <charset val="134"/>
    </font>
    <font>
      <b/>
      <sz val="9"/>
      <color theme="1"/>
      <name val="Times New Roman"/>
      <charset val="134"/>
    </font>
    <font>
      <sz val="9"/>
      <color rgb="FF0000FF"/>
      <name val="Times New Roman"/>
      <charset val="134"/>
    </font>
    <font>
      <b/>
      <sz val="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6"/>
      <color indexed="8"/>
      <name val="Times New Roman"/>
      <charset val="134"/>
    </font>
    <font>
      <b/>
      <sz val="14"/>
      <color indexed="8"/>
      <name val="Times New Roman"/>
      <charset val="134"/>
    </font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sz val="18"/>
      <color theme="1"/>
      <name val="Times New Roman"/>
      <charset val="134"/>
    </font>
    <font>
      <sz val="12"/>
      <color theme="0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20"/>
      <color rgb="FF0000FF"/>
      <name val="Times New Roman"/>
      <charset val="134"/>
    </font>
    <font>
      <sz val="16"/>
      <color theme="1"/>
      <name val="Times New Roman"/>
      <charset val="134"/>
    </font>
    <font>
      <b/>
      <sz val="16"/>
      <color rgb="FF0000FF"/>
      <name val="Times New Roman"/>
      <charset val="134"/>
    </font>
    <font>
      <b/>
      <sz val="14"/>
      <color rgb="FF0000FF"/>
      <name val="Times New Roman"/>
      <charset val="134"/>
    </font>
    <font>
      <b/>
      <sz val="18"/>
      <color theme="1"/>
      <name val="Times New Roman"/>
      <charset val="134"/>
    </font>
    <font>
      <sz val="14"/>
      <color rgb="FF0000FF"/>
      <name val="Times New Roman"/>
      <charset val="134"/>
    </font>
    <font>
      <sz val="14"/>
      <color theme="0"/>
      <name val="Times New Roman"/>
      <charset val="134"/>
    </font>
    <font>
      <b/>
      <sz val="16"/>
      <color theme="1"/>
      <name val="Times New Roman"/>
      <charset val="134"/>
    </font>
    <font>
      <b/>
      <u/>
      <sz val="16"/>
      <color theme="1"/>
      <name val="Times New Roman"/>
      <charset val="134"/>
    </font>
    <font>
      <sz val="12"/>
      <color rgb="FF0000FF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b/>
      <i/>
      <sz val="16"/>
      <color rgb="FF0000FF"/>
      <name val="Times New Roman"/>
      <charset val="134"/>
    </font>
    <font>
      <sz val="10"/>
      <name val="BankGothic Lt BT"/>
      <charset val="134"/>
    </font>
    <font>
      <b/>
      <sz val="18"/>
      <name val="Bahnschrift"/>
      <charset val="134"/>
    </font>
    <font>
      <sz val="10"/>
      <name val="Bahnschrift"/>
      <charset val="134"/>
    </font>
    <font>
      <b/>
      <sz val="12"/>
      <color theme="0"/>
      <name val="Bahnschrift"/>
      <charset val="134"/>
    </font>
    <font>
      <b/>
      <sz val="10"/>
      <color theme="0"/>
      <name val="Bahnschrift"/>
      <charset val="134"/>
    </font>
    <font>
      <sz val="10"/>
      <color rgb="FF0000FF"/>
      <name val="Bahnschrift"/>
      <charset val="134"/>
    </font>
    <font>
      <i/>
      <sz val="10"/>
      <name val="Bahnschrift"/>
      <charset val="134"/>
    </font>
    <font>
      <b/>
      <sz val="10"/>
      <name val="Bahnschrift"/>
      <charset val="134"/>
    </font>
    <font>
      <sz val="10"/>
      <color rgb="FF3F3F76"/>
      <name val="Bahnschrift"/>
      <charset val="134"/>
    </font>
    <font>
      <sz val="10"/>
      <color theme="1"/>
      <name val="Bahnschrift"/>
      <charset val="134"/>
    </font>
    <font>
      <sz val="9"/>
      <color rgb="FF3F3F76"/>
      <name val="Bahnschrift"/>
      <charset val="134"/>
    </font>
    <font>
      <b/>
      <sz val="11"/>
      <name val="Bahnschrift"/>
      <charset val="134"/>
    </font>
    <font>
      <b/>
      <u/>
      <sz val="14"/>
      <color rgb="FF0000FF"/>
      <name val="Bahnschrift"/>
      <charset val="134"/>
    </font>
    <font>
      <sz val="14"/>
      <name val="Bahnschrift"/>
      <charset val="134"/>
    </font>
    <font>
      <b/>
      <sz val="10"/>
      <name val="BankGothic Lt BT"/>
      <charset val="134"/>
    </font>
    <font>
      <sz val="11"/>
      <color theme="0"/>
      <name val="BankGothic Lt BT"/>
      <charset val="134"/>
    </font>
    <font>
      <b/>
      <sz val="11"/>
      <color theme="0"/>
      <name val="Arial"/>
      <charset val="134"/>
    </font>
    <font>
      <sz val="11"/>
      <color theme="0"/>
      <name val="Arial"/>
      <charset val="134"/>
    </font>
    <font>
      <sz val="10"/>
      <color rgb="FF0070C0"/>
      <name val="Arial"/>
      <charset val="134"/>
    </font>
    <font>
      <sz val="10"/>
      <color rgb="FF0000FF"/>
      <name val="Arial"/>
      <charset val="134"/>
    </font>
    <font>
      <sz val="10"/>
      <color theme="1"/>
      <name val="Arial"/>
      <charset val="134"/>
    </font>
    <font>
      <sz val="9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9"/>
      <color rgb="FFFA7D00"/>
      <name val="Times New Roman"/>
      <charset val="134"/>
    </font>
    <font>
      <sz val="9"/>
      <color rgb="FF3F3F76"/>
      <name val="Times New Roman"/>
      <charset val="134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2060"/>
        <bgColor theme="6" tint="0.79998168889431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hair">
        <color indexed="16"/>
      </bottom>
      <diagonal/>
    </border>
    <border>
      <left style="hair">
        <color indexed="16"/>
      </left>
      <right/>
      <top style="hair">
        <color indexed="16"/>
      </top>
      <bottom style="hair">
        <color indexed="16"/>
      </bottom>
      <diagonal/>
    </border>
    <border>
      <left/>
      <right/>
      <top style="hair">
        <color indexed="16"/>
      </top>
      <bottom style="hair">
        <color indexed="16"/>
      </bottom>
      <diagonal/>
    </border>
    <border>
      <left/>
      <right style="hair">
        <color indexed="16"/>
      </right>
      <top style="hair">
        <color indexed="16"/>
      </top>
      <bottom style="hair">
        <color indexed="16"/>
      </bottom>
      <diagonal/>
    </border>
    <border>
      <left style="hair">
        <color indexed="16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indexed="16"/>
      </left>
      <right/>
      <top/>
      <bottom style="hair">
        <color indexed="16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1" fillId="7" borderId="27" applyNumberFormat="0" applyFon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8" borderId="22" applyNumberFormat="0" applyAlignment="0" applyProtection="0">
      <alignment vertical="center"/>
    </xf>
    <xf numFmtId="0" fontId="61" fillId="9" borderId="30" applyNumberFormat="0" applyAlignment="0" applyProtection="0">
      <alignment vertical="center"/>
    </xf>
    <xf numFmtId="0" fontId="62" fillId="9" borderId="22" applyNumberFormat="0" applyAlignment="0" applyProtection="0">
      <alignment vertical="center"/>
    </xf>
    <xf numFmtId="0" fontId="63" fillId="10" borderId="31" applyNumberFormat="0" applyAlignment="0" applyProtection="0">
      <alignment vertical="center"/>
    </xf>
    <xf numFmtId="0" fontId="64" fillId="0" borderId="32" applyNumberFormat="0" applyFill="0" applyAlignment="0" applyProtection="0">
      <alignment vertical="center"/>
    </xf>
    <xf numFmtId="0" fontId="65" fillId="0" borderId="33" applyNumberFormat="0" applyFill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0" fillId="22" borderId="0" applyNumberFormat="0" applyBorder="0" applyAlignment="0" applyProtection="0"/>
    <xf numFmtId="0" fontId="71" fillId="9" borderId="22" applyNumberFormat="0" applyAlignment="0" applyProtection="0"/>
    <xf numFmtId="176" fontId="0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72" fillId="8" borderId="22" applyNumberFormat="0" applyAlignment="0" applyProtection="0"/>
    <xf numFmtId="0" fontId="73" fillId="0" borderId="0"/>
    <xf numFmtId="0" fontId="0" fillId="0" borderId="0"/>
    <xf numFmtId="0" fontId="11" fillId="0" borderId="0"/>
    <xf numFmtId="0" fontId="11" fillId="0" borderId="0"/>
    <xf numFmtId="0" fontId="11" fillId="0" borderId="0"/>
  </cellStyleXfs>
  <cellXfs count="16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58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56" applyFont="1" applyAlignment="1">
      <alignment vertical="center"/>
    </xf>
    <xf numFmtId="0" fontId="0" fillId="0" borderId="0" xfId="0" applyFont="1" applyAlignment="1">
      <alignment vertical="center"/>
    </xf>
    <xf numFmtId="176" fontId="0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1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176" fontId="0" fillId="0" borderId="1" xfId="1" applyFont="1" applyBorder="1" applyAlignment="1">
      <alignment vertical="center"/>
    </xf>
    <xf numFmtId="176" fontId="0" fillId="0" borderId="1" xfId="1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176" fontId="5" fillId="0" borderId="0" xfId="1" applyFont="1" applyAlignment="1">
      <alignment vertical="center"/>
    </xf>
    <xf numFmtId="0" fontId="6" fillId="0" borderId="0" xfId="0" applyFont="1" applyAlignment="1">
      <alignment vertical="center"/>
    </xf>
    <xf numFmtId="0" fontId="5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horizontal="left" vertical="top" wrapText="1" readingOrder="1"/>
    </xf>
    <xf numFmtId="178" fontId="8" fillId="0" borderId="0" xfId="0" applyNumberFormat="1" applyFont="1" applyAlignment="1">
      <alignment vertical="top"/>
    </xf>
    <xf numFmtId="17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top" wrapText="1" readingOrder="1"/>
    </xf>
    <xf numFmtId="176" fontId="10" fillId="0" borderId="0" xfId="1" applyFont="1" applyAlignment="1">
      <alignment horizontal="left" vertical="top"/>
    </xf>
    <xf numFmtId="0" fontId="10" fillId="0" borderId="0" xfId="0" applyFont="1" applyAlignment="1">
      <alignment horizontal="left" wrapText="1" readingOrder="1"/>
    </xf>
    <xf numFmtId="0" fontId="11" fillId="0" borderId="0" xfId="58" applyFont="1" applyAlignment="1" applyProtection="1">
      <alignment vertical="center"/>
      <protection hidden="1"/>
    </xf>
    <xf numFmtId="0" fontId="11" fillId="0" borderId="0" xfId="58" applyFont="1" applyProtection="1">
      <protection hidden="1"/>
    </xf>
    <xf numFmtId="0" fontId="11" fillId="0" borderId="0" xfId="58" applyFont="1" applyAlignment="1" applyProtection="1">
      <alignment horizontal="center"/>
      <protection hidden="1"/>
    </xf>
    <xf numFmtId="0" fontId="11" fillId="0" borderId="0" xfId="58" applyFont="1" applyAlignment="1" applyProtection="1">
      <alignment horizontal="center" wrapText="1"/>
      <protection locked="0"/>
    </xf>
    <xf numFmtId="0" fontId="12" fillId="0" borderId="0" xfId="58" applyFont="1" applyAlignment="1" applyProtection="1">
      <alignment horizontal="center" vertical="center" wrapText="1"/>
      <protection locked="0"/>
    </xf>
    <xf numFmtId="0" fontId="11" fillId="0" borderId="0" xfId="58" applyFont="1" applyAlignment="1" applyProtection="1">
      <alignment horizontal="center" vertical="top"/>
      <protection locked="0"/>
    </xf>
    <xf numFmtId="0" fontId="11" fillId="0" borderId="0" xfId="58" applyFont="1" applyAlignment="1" applyProtection="1">
      <alignment horizontal="center"/>
      <protection locked="0"/>
    </xf>
    <xf numFmtId="180" fontId="11" fillId="0" borderId="0" xfId="52" applyNumberFormat="1" applyFont="1" applyAlignment="1" applyProtection="1">
      <alignment horizontal="center"/>
      <protection locked="0"/>
    </xf>
    <xf numFmtId="0" fontId="11" fillId="0" borderId="0" xfId="58" applyFont="1" applyAlignment="1" applyProtection="1">
      <alignment horizontal="center" vertical="center" wrapText="1"/>
      <protection locked="0"/>
    </xf>
    <xf numFmtId="0" fontId="11" fillId="0" borderId="0" xfId="58" applyFont="1" applyAlignment="1" applyProtection="1">
      <alignment horizontal="center" vertical="center"/>
      <protection hidden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7" fillId="0" borderId="2" xfId="0" applyFont="1" applyBorder="1" applyAlignment="1">
      <alignment horizontal="left"/>
    </xf>
    <xf numFmtId="0" fontId="18" fillId="0" borderId="0" xfId="0" applyFont="1" applyAlignment="1">
      <alignment horizontal="center" vertical="center"/>
    </xf>
    <xf numFmtId="181" fontId="19" fillId="0" borderId="2" xfId="0" applyNumberFormat="1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181" fontId="22" fillId="0" borderId="7" xfId="0" applyNumberFormat="1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0" xfId="0" applyFont="1" applyAlignment="1">
      <alignment vertical="center"/>
    </xf>
    <xf numFmtId="181" fontId="22" fillId="0" borderId="10" xfId="0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181" fontId="22" fillId="0" borderId="10" xfId="0" applyNumberFormat="1" applyFont="1" applyFill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181" fontId="22" fillId="0" borderId="12" xfId="0" applyNumberFormat="1" applyFont="1" applyBorder="1" applyAlignment="1">
      <alignment vertical="center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181" fontId="24" fillId="0" borderId="3" xfId="0" applyNumberFormat="1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0" xfId="0" applyFont="1" applyAlignment="1">
      <alignment horizontal="right" vertical="center"/>
    </xf>
    <xf numFmtId="181" fontId="26" fillId="0" borderId="0" xfId="1" applyNumberFormat="1" applyFont="1" applyBorder="1" applyAlignment="1">
      <alignment vertical="center"/>
    </xf>
    <xf numFmtId="0" fontId="26" fillId="0" borderId="0" xfId="1" applyNumberFormat="1" applyFont="1" applyBorder="1" applyAlignment="1">
      <alignment vertical="center"/>
    </xf>
    <xf numFmtId="9" fontId="26" fillId="0" borderId="0" xfId="3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16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8" fillId="0" borderId="2" xfId="0" applyFont="1" applyBorder="1" applyAlignment="1">
      <alignment horizontal="centerContinuous" vertical="center"/>
    </xf>
    <xf numFmtId="0" fontId="28" fillId="0" borderId="16" xfId="0" applyFont="1" applyBorder="1" applyAlignment="1">
      <alignment horizontal="centerContinuous" vertical="center"/>
    </xf>
    <xf numFmtId="0" fontId="28" fillId="0" borderId="11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15" xfId="0" applyFont="1" applyBorder="1" applyAlignment="1">
      <alignment vertical="center"/>
    </xf>
    <xf numFmtId="0" fontId="27" fillId="0" borderId="0" xfId="0" applyFont="1" applyAlignment="1">
      <alignment horizontal="left" vertical="center"/>
    </xf>
    <xf numFmtId="0" fontId="28" fillId="0" borderId="2" xfId="0" applyFont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2" fontId="19" fillId="0" borderId="15" xfId="0" applyNumberFormat="1" applyFont="1" applyBorder="1" applyAlignment="1">
      <alignment horizontal="center" vertical="center"/>
    </xf>
    <xf numFmtId="0" fontId="28" fillId="0" borderId="13" xfId="0" applyFont="1" applyBorder="1" applyAlignment="1">
      <alignment vertical="center"/>
    </xf>
    <xf numFmtId="183" fontId="29" fillId="0" borderId="16" xfId="0" applyNumberFormat="1" applyFont="1" applyBorder="1" applyAlignment="1">
      <alignment horizontal="center" vertical="center"/>
    </xf>
    <xf numFmtId="181" fontId="16" fillId="0" borderId="0" xfId="0" applyNumberFormat="1" applyFont="1" applyAlignment="1">
      <alignment vertical="center"/>
    </xf>
    <xf numFmtId="0" fontId="30" fillId="0" borderId="0" xfId="0" applyFont="1" applyAlignment="1" applyProtection="1">
      <alignment horizontal="left"/>
      <protection hidden="1"/>
    </xf>
    <xf numFmtId="0" fontId="30" fillId="0" borderId="0" xfId="0" applyFont="1" applyAlignment="1" applyProtection="1">
      <alignment horizontal="center"/>
      <protection hidden="1"/>
    </xf>
    <xf numFmtId="0" fontId="31" fillId="0" borderId="0" xfId="0" applyFont="1" applyProtection="1">
      <protection hidden="1"/>
    </xf>
    <xf numFmtId="0" fontId="32" fillId="0" borderId="0" xfId="0" applyFont="1" applyProtection="1">
      <protection hidden="1"/>
    </xf>
    <xf numFmtId="0" fontId="32" fillId="0" borderId="0" xfId="0" applyFont="1" applyAlignment="1" applyProtection="1">
      <alignment horizontal="left"/>
      <protection hidden="1"/>
    </xf>
    <xf numFmtId="0" fontId="32" fillId="0" borderId="17" xfId="0" applyFont="1" applyBorder="1" applyAlignment="1" applyProtection="1">
      <alignment horizontal="left"/>
      <protection hidden="1"/>
    </xf>
    <xf numFmtId="0" fontId="32" fillId="0" borderId="17" xfId="0" applyFont="1" applyBorder="1" applyProtection="1">
      <protection hidden="1"/>
    </xf>
    <xf numFmtId="0" fontId="33" fillId="4" borderId="18" xfId="49" applyFont="1" applyFill="1" applyBorder="1" applyAlignment="1" applyProtection="1">
      <protection hidden="1"/>
    </xf>
    <xf numFmtId="0" fontId="34" fillId="4" borderId="19" xfId="49" applyFont="1" applyFill="1" applyBorder="1" applyAlignment="1" applyProtection="1">
      <protection hidden="1"/>
    </xf>
    <xf numFmtId="0" fontId="34" fillId="4" borderId="20" xfId="49" applyFont="1" applyFill="1" applyBorder="1" applyAlignment="1" applyProtection="1">
      <protection hidden="1"/>
    </xf>
    <xf numFmtId="0" fontId="33" fillId="4" borderId="18" xfId="49" applyFont="1" applyFill="1" applyBorder="1" applyAlignment="1" applyProtection="1">
      <alignment horizontal="left"/>
      <protection hidden="1"/>
    </xf>
    <xf numFmtId="0" fontId="33" fillId="4" borderId="19" xfId="49" applyFont="1" applyFill="1" applyBorder="1" applyAlignment="1" applyProtection="1">
      <alignment horizontal="left"/>
      <protection hidden="1"/>
    </xf>
    <xf numFmtId="0" fontId="33" fillId="4" borderId="20" xfId="49" applyFont="1" applyFill="1" applyBorder="1" applyAlignment="1" applyProtection="1">
      <alignment horizontal="left"/>
      <protection hidden="1"/>
    </xf>
    <xf numFmtId="0" fontId="32" fillId="0" borderId="21" xfId="0" applyFont="1" applyBorder="1" applyAlignment="1" applyProtection="1">
      <alignment horizontal="left"/>
      <protection hidden="1"/>
    </xf>
    <xf numFmtId="0" fontId="32" fillId="0" borderId="0" xfId="0" applyFont="1" applyAlignment="1" applyProtection="1">
      <alignment horizontal="right"/>
      <protection hidden="1"/>
    </xf>
    <xf numFmtId="184" fontId="35" fillId="5" borderId="22" xfId="55" applyNumberFormat="1" applyFont="1" applyFill="1" applyAlignment="1" applyProtection="1">
      <alignment horizontal="right"/>
      <protection locked="0"/>
    </xf>
    <xf numFmtId="0" fontId="36" fillId="6" borderId="0" xfId="0" applyFont="1" applyFill="1" applyAlignment="1" applyProtection="1">
      <alignment horizontal="left"/>
      <protection hidden="1"/>
    </xf>
    <xf numFmtId="185" fontId="37" fillId="5" borderId="22" xfId="50" applyNumberFormat="1" applyFont="1" applyFill="1" applyAlignment="1" applyProtection="1">
      <alignment horizontal="right"/>
      <protection hidden="1"/>
    </xf>
    <xf numFmtId="186" fontId="35" fillId="5" borderId="22" xfId="55" applyNumberFormat="1" applyFont="1" applyFill="1" applyAlignment="1" applyProtection="1">
      <alignment horizontal="right"/>
      <protection locked="0"/>
    </xf>
    <xf numFmtId="3" fontId="37" fillId="5" borderId="22" xfId="50" applyNumberFormat="1" applyFont="1" applyFill="1" applyAlignment="1" applyProtection="1">
      <alignment horizontal="right"/>
      <protection hidden="1"/>
    </xf>
    <xf numFmtId="187" fontId="38" fillId="5" borderId="22" xfId="55" applyNumberFormat="1" applyFont="1" applyFill="1" applyAlignment="1" applyProtection="1">
      <alignment horizontal="right"/>
      <protection locked="0"/>
    </xf>
    <xf numFmtId="187" fontId="39" fillId="5" borderId="22" xfId="55" applyNumberFormat="1" applyFont="1" applyFill="1" applyAlignment="1" applyProtection="1">
      <alignment horizontal="right"/>
      <protection locked="0"/>
    </xf>
    <xf numFmtId="58" fontId="40" fillId="5" borderId="22" xfId="55" applyNumberFormat="1" applyFont="1" applyFill="1" applyAlignment="1" applyProtection="1">
      <alignment horizontal="center" shrinkToFit="1"/>
      <protection locked="0"/>
    </xf>
    <xf numFmtId="176" fontId="37" fillId="5" borderId="22" xfId="1" applyFont="1" applyFill="1" applyBorder="1" applyAlignment="1" applyProtection="1">
      <alignment horizontal="right"/>
      <protection hidden="1"/>
    </xf>
    <xf numFmtId="0" fontId="32" fillId="0" borderId="23" xfId="0" applyFont="1" applyBorder="1" applyAlignment="1" applyProtection="1">
      <alignment horizontal="left"/>
      <protection hidden="1"/>
    </xf>
    <xf numFmtId="0" fontId="32" fillId="0" borderId="17" xfId="0" applyFont="1" applyBorder="1" applyAlignment="1" applyProtection="1">
      <alignment horizontal="right"/>
      <protection hidden="1"/>
    </xf>
    <xf numFmtId="185" fontId="38" fillId="5" borderId="22" xfId="55" applyNumberFormat="1" applyFont="1" applyFill="1" applyAlignment="1" applyProtection="1">
      <alignment horizontal="right"/>
      <protection locked="0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Protection="1">
      <protection locked="0"/>
    </xf>
    <xf numFmtId="0" fontId="43" fillId="0" borderId="0" xfId="0" applyFont="1" applyProtection="1">
      <protection locked="0"/>
    </xf>
    <xf numFmtId="0" fontId="32" fillId="0" borderId="0" xfId="0" applyFont="1" applyAlignment="1" applyProtection="1">
      <alignment horizontal="center"/>
      <protection hidden="1"/>
    </xf>
    <xf numFmtId="10" fontId="37" fillId="5" borderId="22" xfId="3" applyNumberFormat="1" applyFont="1" applyFill="1" applyBorder="1" applyAlignment="1" applyProtection="1">
      <alignment horizontal="right"/>
      <protection hidden="1"/>
    </xf>
    <xf numFmtId="0" fontId="44" fillId="0" borderId="0" xfId="0" applyFont="1" applyAlignment="1" applyProtection="1">
      <alignment horizontal="right"/>
      <protection hidden="1"/>
    </xf>
    <xf numFmtId="185" fontId="30" fillId="0" borderId="0" xfId="0" applyNumberFormat="1" applyFont="1" applyProtection="1">
      <protection hidden="1"/>
    </xf>
    <xf numFmtId="0" fontId="30" fillId="0" borderId="0" xfId="0" applyFont="1" applyProtection="1">
      <protection hidden="1"/>
    </xf>
    <xf numFmtId="0" fontId="30" fillId="0" borderId="17" xfId="0" applyFont="1" applyBorder="1" applyAlignment="1" applyProtection="1">
      <alignment horizontal="left"/>
      <protection hidden="1"/>
    </xf>
    <xf numFmtId="0" fontId="30" fillId="0" borderId="17" xfId="0" applyFont="1" applyBorder="1" applyProtection="1">
      <protection hidden="1"/>
    </xf>
    <xf numFmtId="0" fontId="45" fillId="4" borderId="0" xfId="49" applyFont="1" applyFill="1" applyBorder="1" applyAlignment="1" applyProtection="1">
      <alignment horizontal="left"/>
      <protection hidden="1"/>
    </xf>
    <xf numFmtId="0" fontId="45" fillId="4" borderId="0" xfId="49" applyFont="1" applyFill="1" applyBorder="1" applyProtection="1">
      <protection hidden="1"/>
    </xf>
    <xf numFmtId="0" fontId="46" fillId="4" borderId="24" xfId="49" applyFont="1" applyFill="1" applyBorder="1" applyAlignment="1" applyProtection="1">
      <alignment horizontal="center" vertical="center" wrapText="1"/>
      <protection hidden="1"/>
    </xf>
    <xf numFmtId="58" fontId="46" fillId="4" borderId="25" xfId="49" applyNumberFormat="1" applyFont="1" applyFill="1" applyBorder="1" applyAlignment="1" applyProtection="1">
      <alignment horizontal="center" vertical="center" wrapText="1"/>
      <protection hidden="1"/>
    </xf>
    <xf numFmtId="0" fontId="46" fillId="4" borderId="25" xfId="49" applyFont="1" applyFill="1" applyBorder="1" applyAlignment="1" applyProtection="1">
      <alignment horizontal="center" vertical="center" wrapText="1"/>
      <protection hidden="1"/>
    </xf>
    <xf numFmtId="0" fontId="46" fillId="4" borderId="26" xfId="49" applyFont="1" applyFill="1" applyBorder="1" applyAlignment="1" applyProtection="1">
      <alignment horizontal="center" vertical="center" wrapText="1"/>
      <protection hidden="1"/>
    </xf>
    <xf numFmtId="0" fontId="47" fillId="4" borderId="17" xfId="49" applyFont="1" applyFill="1" applyBorder="1" applyAlignment="1" applyProtection="1">
      <alignment horizontal="left"/>
      <protection hidden="1"/>
    </xf>
    <xf numFmtId="58" fontId="47" fillId="4" borderId="17" xfId="49" applyNumberFormat="1" applyFont="1" applyFill="1" applyBorder="1" applyAlignment="1" applyProtection="1">
      <alignment horizontal="left" wrapText="1" indent="2"/>
      <protection hidden="1"/>
    </xf>
    <xf numFmtId="0" fontId="47" fillId="4" borderId="17" xfId="49" applyFont="1" applyFill="1" applyBorder="1" applyAlignment="1" applyProtection="1">
      <alignment horizontal="left" wrapText="1" indent="2"/>
      <protection hidden="1"/>
    </xf>
    <xf numFmtId="0" fontId="47" fillId="4" borderId="17" xfId="49" applyFont="1" applyFill="1" applyBorder="1" applyAlignment="1" applyProtection="1">
      <alignment horizontal="left" wrapText="1" indent="3"/>
      <protection hidden="1"/>
    </xf>
    <xf numFmtId="0" fontId="48" fillId="0" borderId="0" xfId="0" applyFont="1" applyAlignment="1" applyProtection="1">
      <alignment horizontal="center"/>
      <protection hidden="1"/>
    </xf>
    <xf numFmtId="58" fontId="49" fillId="0" borderId="0" xfId="0" applyNumberFormat="1" applyFont="1" applyAlignment="1" applyProtection="1">
      <alignment horizontal="center"/>
      <protection hidden="1"/>
    </xf>
    <xf numFmtId="4" fontId="50" fillId="0" borderId="0" xfId="2" applyNumberFormat="1" applyFont="1" applyFill="1" applyBorder="1" applyAlignment="1" applyProtection="1">
      <alignment horizontal="right"/>
      <protection hidden="1"/>
    </xf>
    <xf numFmtId="0" fontId="11" fillId="0" borderId="0" xfId="58" applyAlignment="1" applyProtection="1">
      <alignment vertical="center"/>
      <protection hidden="1"/>
    </xf>
    <xf numFmtId="0" fontId="11" fillId="0" borderId="0" xfId="58" applyProtection="1">
      <protection hidden="1"/>
    </xf>
    <xf numFmtId="0" fontId="11" fillId="0" borderId="0" xfId="58" applyAlignment="1" applyProtection="1">
      <alignment horizontal="center"/>
      <protection hidden="1"/>
    </xf>
    <xf numFmtId="0" fontId="51" fillId="0" borderId="0" xfId="58" applyFont="1" applyAlignment="1" applyProtection="1">
      <alignment horizontal="center" vertical="center" wrapText="1"/>
      <protection locked="0"/>
    </xf>
    <xf numFmtId="0" fontId="11" fillId="0" borderId="0" xfId="58" applyAlignment="1" applyProtection="1">
      <alignment horizontal="center" vertical="top"/>
      <protection locked="0"/>
    </xf>
    <xf numFmtId="0" fontId="11" fillId="0" borderId="0" xfId="58" applyAlignment="1" applyProtection="1">
      <alignment horizontal="center"/>
      <protection locked="0"/>
    </xf>
    <xf numFmtId="0" fontId="11" fillId="0" borderId="0" xfId="58" applyAlignment="1" applyProtection="1">
      <alignment horizontal="center" vertical="center" wrapText="1"/>
      <protection locked="0"/>
    </xf>
    <xf numFmtId="0" fontId="11" fillId="0" borderId="0" xfId="58" applyAlignment="1" applyProtection="1">
      <alignment horizontal="center" vertical="center"/>
      <protection hidden="1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3 2" xfId="49"/>
    <cellStyle name="Calculation 2" xfId="50"/>
    <cellStyle name="Comma 2" xfId="51"/>
    <cellStyle name="Currency 2 3" xfId="52"/>
    <cellStyle name="Currency 2 3 2" xfId="53"/>
    <cellStyle name="Currency 2 3 3 2" xfId="54"/>
    <cellStyle name="Input 2" xfId="55"/>
    <cellStyle name="Normal 2" xfId="56"/>
    <cellStyle name="Normal 3" xfId="57"/>
    <cellStyle name="Normal 3 3" xfId="58"/>
    <cellStyle name="Normal 3 3 2" xfId="59"/>
    <cellStyle name="Normal 3 3 3 2" xfId="60"/>
  </cellStyles>
  <dxfs count="4">
    <dxf>
      <font>
        <color indexed="9"/>
      </font>
      <fill>
        <patternFill patternType="solid">
          <bgColor indexed="9"/>
        </patternFill>
      </fill>
    </dxf>
    <dxf>
      <fill>
        <patternFill patternType="solid">
          <bgColor indexed="26"/>
        </patternFill>
      </fill>
      <border>
        <left/>
        <right/>
        <top/>
        <bottom style="thin">
          <color indexed="22"/>
        </bottom>
      </border>
    </dxf>
    <dxf>
      <fill>
        <patternFill patternType="solid">
          <bgColor indexed="2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5.1.223\c$\Mai%20Drive\Drive%20D\Coop\masterLOA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oanDateTbl"/>
      <sheetName val="Comparison (2)"/>
      <sheetName val="TRIAL"/>
    </sheetNames>
    <definedNames>
      <definedName name="End_Bal" refersTo="=TRIAL!$I$18:$I$497" sheetId="2"/>
      <definedName name="Header_Row" refersTo="='#REF!'!#REF!" sheetId="2"/>
      <definedName name="Interest_Rate" refersTo="=TRIAL!$D$6" sheetId="2"/>
      <definedName name="Loan_Amount" refersTo="=TRIAL!$D$5" sheetId="2"/>
      <definedName name="Loan_Start" refersTo="=TRIAL!$D$9" sheetId="2"/>
      <definedName name="Loan_Years" refersTo="=TRIAL!$D$7" sheetId="2"/>
      <definedName name="Number_of_Payments" refersTo="='#REF!'!#REF!" sheetId="2"/>
      <definedName name="Values_Entered" refersTo="='#REF!'!#REF!" sheetId="2"/>
    </definedNames>
    <sheetDataSet>
      <sheetData sheetId="0" refreshError="1"/>
      <sheetData sheetId="1" refreshError="1"/>
      <sheetData sheetId="2" refreshError="1">
        <row r="5">
          <cell r="D5">
            <v>100000</v>
          </cell>
        </row>
        <row r="6">
          <cell r="D6">
            <v>0.12</v>
          </cell>
        </row>
        <row r="7">
          <cell r="D7">
            <v>1</v>
          </cell>
        </row>
        <row r="9">
          <cell r="D9">
            <v>44197</v>
          </cell>
        </row>
        <row r="18">
          <cell r="I18">
            <v>96067.9389747243</v>
          </cell>
        </row>
        <row r="19">
          <cell r="I19">
            <v>92116.2176443222</v>
          </cell>
        </row>
        <row r="20">
          <cell r="I20">
            <v>88144.7377072682</v>
          </cell>
        </row>
        <row r="21">
          <cell r="I21">
            <v>84153.4003705288</v>
          </cell>
        </row>
        <row r="22">
          <cell r="I22">
            <v>80142.1063471058</v>
          </cell>
        </row>
        <row r="23">
          <cell r="I23">
            <v>76110.7558535656</v>
          </cell>
        </row>
        <row r="24">
          <cell r="I24">
            <v>72059.2486075577</v>
          </cell>
        </row>
        <row r="25">
          <cell r="I25">
            <v>67987.4838253198</v>
          </cell>
        </row>
        <row r="26">
          <cell r="I26">
            <v>63895.3602191707</v>
          </cell>
        </row>
        <row r="27">
          <cell r="I27">
            <v>59782.7759949909</v>
          </cell>
        </row>
        <row r="28">
          <cell r="I28">
            <v>55649.6288496902</v>
          </cell>
        </row>
        <row r="29">
          <cell r="I29">
            <v>51495.8159686629</v>
          </cell>
        </row>
        <row r="30">
          <cell r="I30">
            <v>47321.2340232305</v>
          </cell>
        </row>
        <row r="31">
          <cell r="I31">
            <v>43125.779168071</v>
          </cell>
        </row>
        <row r="32">
          <cell r="I32">
            <v>38909.3470386357</v>
          </cell>
        </row>
        <row r="33">
          <cell r="I33">
            <v>34671.8327485532</v>
          </cell>
        </row>
        <row r="34">
          <cell r="I34">
            <v>30413.1308870202</v>
          </cell>
        </row>
        <row r="35">
          <cell r="I35">
            <v>26133.1355161797</v>
          </cell>
        </row>
        <row r="36">
          <cell r="I36">
            <v>21831.7401684849</v>
          </cell>
        </row>
        <row r="37">
          <cell r="I37">
            <v>17508.8378440516</v>
          </cell>
        </row>
        <row r="38">
          <cell r="I38">
            <v>13164.3210079962</v>
          </cell>
        </row>
        <row r="39">
          <cell r="I39">
            <v>8798.08158776045</v>
          </cell>
        </row>
        <row r="40">
          <cell r="I40">
            <v>4410.01097042357</v>
          </cell>
        </row>
        <row r="41">
          <cell r="I41">
            <v>0</v>
          </cell>
        </row>
        <row r="42">
          <cell r="I42">
            <v>0</v>
          </cell>
        </row>
        <row r="43">
          <cell r="I43">
            <v>0</v>
          </cell>
        </row>
        <row r="44">
          <cell r="I44">
            <v>0</v>
          </cell>
        </row>
        <row r="45">
          <cell r="I45">
            <v>0</v>
          </cell>
        </row>
        <row r="46">
          <cell r="I46">
            <v>0</v>
          </cell>
        </row>
        <row r="47">
          <cell r="I47">
            <v>0</v>
          </cell>
        </row>
        <row r="48">
          <cell r="I48">
            <v>0</v>
          </cell>
        </row>
        <row r="49">
          <cell r="I49">
            <v>0</v>
          </cell>
        </row>
        <row r="50">
          <cell r="I50">
            <v>0</v>
          </cell>
        </row>
        <row r="51">
          <cell r="I51">
            <v>0</v>
          </cell>
        </row>
        <row r="52">
          <cell r="I52">
            <v>0</v>
          </cell>
        </row>
        <row r="53">
          <cell r="I53">
            <v>0</v>
          </cell>
        </row>
        <row r="54">
          <cell r="I54">
            <v>0</v>
          </cell>
        </row>
        <row r="55">
          <cell r="I55">
            <v>0</v>
          </cell>
        </row>
        <row r="56">
          <cell r="I56">
            <v>0</v>
          </cell>
        </row>
        <row r="57">
          <cell r="I57">
            <v>0</v>
          </cell>
        </row>
        <row r="58">
          <cell r="I58">
            <v>0</v>
          </cell>
        </row>
        <row r="59">
          <cell r="I59">
            <v>0</v>
          </cell>
        </row>
        <row r="60">
          <cell r="I60">
            <v>0</v>
          </cell>
        </row>
        <row r="61">
          <cell r="I61">
            <v>0</v>
          </cell>
        </row>
        <row r="62">
          <cell r="I62">
            <v>0</v>
          </cell>
        </row>
        <row r="63">
          <cell r="I63">
            <v>0</v>
          </cell>
        </row>
        <row r="64">
          <cell r="I64">
            <v>0</v>
          </cell>
        </row>
        <row r="65">
          <cell r="I65">
            <v>0</v>
          </cell>
        </row>
        <row r="66">
          <cell r="I66">
            <v>0</v>
          </cell>
        </row>
        <row r="67">
          <cell r="I67">
            <v>0</v>
          </cell>
        </row>
        <row r="68">
          <cell r="I68">
            <v>0</v>
          </cell>
        </row>
        <row r="69">
          <cell r="I69">
            <v>0</v>
          </cell>
        </row>
        <row r="70">
          <cell r="I70">
            <v>0</v>
          </cell>
        </row>
        <row r="71">
          <cell r="I71">
            <v>0</v>
          </cell>
        </row>
        <row r="72">
          <cell r="I72">
            <v>0</v>
          </cell>
        </row>
        <row r="73">
          <cell r="I73">
            <v>0</v>
          </cell>
        </row>
        <row r="74">
          <cell r="I74">
            <v>0</v>
          </cell>
        </row>
        <row r="75">
          <cell r="I75">
            <v>0</v>
          </cell>
        </row>
        <row r="76">
          <cell r="I76">
            <v>0</v>
          </cell>
        </row>
        <row r="77">
          <cell r="I77">
            <v>0</v>
          </cell>
        </row>
        <row r="78">
          <cell r="I78">
            <v>0</v>
          </cell>
        </row>
        <row r="79">
          <cell r="I79">
            <v>0</v>
          </cell>
        </row>
        <row r="80">
          <cell r="I80">
            <v>0</v>
          </cell>
        </row>
        <row r="81">
          <cell r="I81">
            <v>0</v>
          </cell>
        </row>
        <row r="82">
          <cell r="I82">
            <v>0</v>
          </cell>
        </row>
        <row r="83">
          <cell r="I83">
            <v>0</v>
          </cell>
        </row>
        <row r="84">
          <cell r="I84">
            <v>0</v>
          </cell>
        </row>
        <row r="85">
          <cell r="I85">
            <v>0</v>
          </cell>
        </row>
        <row r="86">
          <cell r="I86">
            <v>0</v>
          </cell>
        </row>
        <row r="87">
          <cell r="I87">
            <v>0</v>
          </cell>
        </row>
        <row r="88">
          <cell r="I88">
            <v>0</v>
          </cell>
        </row>
        <row r="89">
          <cell r="I89">
            <v>0</v>
          </cell>
        </row>
        <row r="90">
          <cell r="I90">
            <v>0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  <row r="99">
          <cell r="I99">
            <v>0</v>
          </cell>
        </row>
        <row r="100">
          <cell r="I100">
            <v>0</v>
          </cell>
        </row>
        <row r="101">
          <cell r="I101">
            <v>0</v>
          </cell>
        </row>
        <row r="102">
          <cell r="I102">
            <v>0</v>
          </cell>
        </row>
        <row r="103">
          <cell r="I103">
            <v>0</v>
          </cell>
        </row>
        <row r="104">
          <cell r="I104">
            <v>0</v>
          </cell>
        </row>
        <row r="105">
          <cell r="I105">
            <v>0</v>
          </cell>
        </row>
        <row r="106">
          <cell r="I106">
            <v>0</v>
          </cell>
        </row>
        <row r="107">
          <cell r="I107">
            <v>0</v>
          </cell>
        </row>
        <row r="108">
          <cell r="I108">
            <v>0</v>
          </cell>
        </row>
        <row r="109">
          <cell r="I109">
            <v>0</v>
          </cell>
        </row>
        <row r="110">
          <cell r="I110">
            <v>0</v>
          </cell>
        </row>
        <row r="111">
          <cell r="I111">
            <v>0</v>
          </cell>
        </row>
        <row r="112">
          <cell r="I112">
            <v>0</v>
          </cell>
        </row>
        <row r="113">
          <cell r="I113">
            <v>0</v>
          </cell>
        </row>
        <row r="114">
          <cell r="I114">
            <v>0</v>
          </cell>
        </row>
        <row r="115">
          <cell r="I115">
            <v>0</v>
          </cell>
        </row>
        <row r="116">
          <cell r="I116">
            <v>0</v>
          </cell>
        </row>
        <row r="117">
          <cell r="I117">
            <v>0</v>
          </cell>
        </row>
        <row r="118">
          <cell r="I118">
            <v>0</v>
          </cell>
        </row>
        <row r="119">
          <cell r="I119">
            <v>0</v>
          </cell>
        </row>
        <row r="120">
          <cell r="I120">
            <v>0</v>
          </cell>
        </row>
        <row r="121">
          <cell r="I121">
            <v>0</v>
          </cell>
        </row>
        <row r="122">
          <cell r="I122">
            <v>0</v>
          </cell>
        </row>
        <row r="123">
          <cell r="I123">
            <v>0</v>
          </cell>
        </row>
        <row r="124">
          <cell r="I124">
            <v>0</v>
          </cell>
        </row>
        <row r="125">
          <cell r="I125">
            <v>0</v>
          </cell>
        </row>
        <row r="126">
          <cell r="I126">
            <v>0</v>
          </cell>
        </row>
        <row r="127">
          <cell r="I127">
            <v>0</v>
          </cell>
        </row>
        <row r="128">
          <cell r="I128">
            <v>0</v>
          </cell>
        </row>
        <row r="129">
          <cell r="I129">
            <v>0</v>
          </cell>
        </row>
        <row r="130">
          <cell r="I130">
            <v>0</v>
          </cell>
        </row>
        <row r="131">
          <cell r="I131">
            <v>0</v>
          </cell>
        </row>
        <row r="132">
          <cell r="I132">
            <v>0</v>
          </cell>
        </row>
        <row r="133">
          <cell r="I133">
            <v>0</v>
          </cell>
        </row>
        <row r="134">
          <cell r="I134">
            <v>0</v>
          </cell>
        </row>
        <row r="135">
          <cell r="I135">
            <v>0</v>
          </cell>
        </row>
        <row r="136">
          <cell r="I136">
            <v>0</v>
          </cell>
        </row>
        <row r="137">
          <cell r="I137">
            <v>0</v>
          </cell>
        </row>
        <row r="138">
          <cell r="I138">
            <v>0</v>
          </cell>
        </row>
        <row r="139">
          <cell r="I139">
            <v>0</v>
          </cell>
        </row>
        <row r="140">
          <cell r="I140">
            <v>0</v>
          </cell>
        </row>
        <row r="141">
          <cell r="I141">
            <v>0</v>
          </cell>
        </row>
        <row r="142">
          <cell r="I142">
            <v>0</v>
          </cell>
        </row>
        <row r="143">
          <cell r="I143">
            <v>0</v>
          </cell>
        </row>
        <row r="144">
          <cell r="I144">
            <v>0</v>
          </cell>
        </row>
        <row r="145">
          <cell r="I145">
            <v>0</v>
          </cell>
        </row>
        <row r="146">
          <cell r="I146">
            <v>0</v>
          </cell>
        </row>
        <row r="147">
          <cell r="I147">
            <v>0</v>
          </cell>
        </row>
        <row r="148">
          <cell r="I148">
            <v>0</v>
          </cell>
        </row>
        <row r="149">
          <cell r="I149">
            <v>0</v>
          </cell>
        </row>
        <row r="150">
          <cell r="I150">
            <v>0</v>
          </cell>
        </row>
        <row r="151">
          <cell r="I151">
            <v>0</v>
          </cell>
        </row>
        <row r="152">
          <cell r="I152">
            <v>0</v>
          </cell>
        </row>
        <row r="153">
          <cell r="I153">
            <v>0</v>
          </cell>
        </row>
        <row r="154">
          <cell r="I154">
            <v>0</v>
          </cell>
        </row>
        <row r="155">
          <cell r="I155">
            <v>0</v>
          </cell>
        </row>
        <row r="156">
          <cell r="I156">
            <v>0</v>
          </cell>
        </row>
        <row r="157">
          <cell r="I157">
            <v>0</v>
          </cell>
        </row>
        <row r="158">
          <cell r="I158">
            <v>0</v>
          </cell>
        </row>
        <row r="159">
          <cell r="I159">
            <v>0</v>
          </cell>
        </row>
        <row r="160">
          <cell r="I160">
            <v>0</v>
          </cell>
        </row>
        <row r="161">
          <cell r="I161">
            <v>0</v>
          </cell>
        </row>
        <row r="162">
          <cell r="I162">
            <v>0</v>
          </cell>
        </row>
        <row r="163">
          <cell r="I163">
            <v>0</v>
          </cell>
        </row>
        <row r="164">
          <cell r="I164">
            <v>0</v>
          </cell>
        </row>
        <row r="165">
          <cell r="I165">
            <v>0</v>
          </cell>
        </row>
        <row r="166">
          <cell r="I166">
            <v>0</v>
          </cell>
        </row>
        <row r="167">
          <cell r="I167">
            <v>0</v>
          </cell>
        </row>
        <row r="168">
          <cell r="I168">
            <v>0</v>
          </cell>
        </row>
        <row r="169">
          <cell r="I169">
            <v>0</v>
          </cell>
        </row>
        <row r="170">
          <cell r="I170">
            <v>0</v>
          </cell>
        </row>
        <row r="171">
          <cell r="I171">
            <v>0</v>
          </cell>
        </row>
        <row r="172">
          <cell r="I172">
            <v>0</v>
          </cell>
        </row>
        <row r="173">
          <cell r="I173">
            <v>0</v>
          </cell>
        </row>
        <row r="174">
          <cell r="I174">
            <v>0</v>
          </cell>
        </row>
        <row r="175">
          <cell r="I175">
            <v>0</v>
          </cell>
        </row>
        <row r="176">
          <cell r="I176">
            <v>0</v>
          </cell>
        </row>
        <row r="177">
          <cell r="I177">
            <v>0</v>
          </cell>
        </row>
        <row r="178">
          <cell r="I178">
            <v>0</v>
          </cell>
        </row>
        <row r="179">
          <cell r="I179">
            <v>0</v>
          </cell>
        </row>
        <row r="180">
          <cell r="I180">
            <v>0</v>
          </cell>
        </row>
        <row r="181">
          <cell r="I181">
            <v>0</v>
          </cell>
        </row>
        <row r="182">
          <cell r="I182">
            <v>0</v>
          </cell>
        </row>
        <row r="183">
          <cell r="I183">
            <v>0</v>
          </cell>
        </row>
        <row r="184">
          <cell r="I184">
            <v>0</v>
          </cell>
        </row>
        <row r="185">
          <cell r="I185">
            <v>0</v>
          </cell>
        </row>
        <row r="186">
          <cell r="I186">
            <v>0</v>
          </cell>
        </row>
        <row r="187">
          <cell r="I187">
            <v>0</v>
          </cell>
        </row>
        <row r="188">
          <cell r="I188">
            <v>0</v>
          </cell>
        </row>
        <row r="189">
          <cell r="I189">
            <v>0</v>
          </cell>
        </row>
        <row r="190">
          <cell r="I190">
            <v>0</v>
          </cell>
        </row>
        <row r="191">
          <cell r="I191">
            <v>0</v>
          </cell>
        </row>
        <row r="192">
          <cell r="I192">
            <v>0</v>
          </cell>
        </row>
        <row r="193">
          <cell r="I193">
            <v>0</v>
          </cell>
        </row>
        <row r="194">
          <cell r="I194">
            <v>0</v>
          </cell>
        </row>
        <row r="195">
          <cell r="I195">
            <v>0</v>
          </cell>
        </row>
        <row r="196">
          <cell r="I196">
            <v>0</v>
          </cell>
        </row>
        <row r="197">
          <cell r="I197">
            <v>0</v>
          </cell>
        </row>
        <row r="198">
          <cell r="I198">
            <v>0</v>
          </cell>
        </row>
        <row r="199">
          <cell r="I199">
            <v>0</v>
          </cell>
        </row>
        <row r="200">
          <cell r="I200">
            <v>0</v>
          </cell>
        </row>
        <row r="201">
          <cell r="I201">
            <v>0</v>
          </cell>
        </row>
        <row r="202">
          <cell r="I202">
            <v>0</v>
          </cell>
        </row>
        <row r="203">
          <cell r="I203">
            <v>0</v>
          </cell>
        </row>
        <row r="204">
          <cell r="I204">
            <v>0</v>
          </cell>
        </row>
        <row r="205">
          <cell r="I205">
            <v>0</v>
          </cell>
        </row>
        <row r="206">
          <cell r="I206">
            <v>0</v>
          </cell>
        </row>
        <row r="207">
          <cell r="I207">
            <v>0</v>
          </cell>
        </row>
        <row r="208">
          <cell r="I208">
            <v>0</v>
          </cell>
        </row>
        <row r="209">
          <cell r="I209">
            <v>0</v>
          </cell>
        </row>
        <row r="210">
          <cell r="I210">
            <v>0</v>
          </cell>
        </row>
        <row r="211">
          <cell r="I211">
            <v>0</v>
          </cell>
        </row>
        <row r="212">
          <cell r="I212">
            <v>0</v>
          </cell>
        </row>
        <row r="213">
          <cell r="I213">
            <v>0</v>
          </cell>
        </row>
        <row r="214">
          <cell r="I214">
            <v>0</v>
          </cell>
        </row>
        <row r="215">
          <cell r="I215">
            <v>0</v>
          </cell>
        </row>
        <row r="216">
          <cell r="I216">
            <v>0</v>
          </cell>
        </row>
        <row r="217">
          <cell r="I217">
            <v>0</v>
          </cell>
        </row>
        <row r="218">
          <cell r="I218">
            <v>0</v>
          </cell>
        </row>
        <row r="219">
          <cell r="I219">
            <v>0</v>
          </cell>
        </row>
        <row r="220">
          <cell r="I220">
            <v>0</v>
          </cell>
        </row>
        <row r="221">
          <cell r="I221">
            <v>0</v>
          </cell>
        </row>
        <row r="222">
          <cell r="I222">
            <v>0</v>
          </cell>
        </row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I227">
            <v>0</v>
          </cell>
        </row>
        <row r="228">
          <cell r="I228">
            <v>0</v>
          </cell>
        </row>
        <row r="229">
          <cell r="I229">
            <v>0</v>
          </cell>
        </row>
        <row r="230">
          <cell r="I230">
            <v>0</v>
          </cell>
        </row>
        <row r="231">
          <cell r="I231">
            <v>0</v>
          </cell>
        </row>
        <row r="232">
          <cell r="I232">
            <v>0</v>
          </cell>
        </row>
        <row r="233">
          <cell r="I233">
            <v>0</v>
          </cell>
        </row>
        <row r="234">
          <cell r="I234">
            <v>0</v>
          </cell>
        </row>
        <row r="235">
          <cell r="I235">
            <v>0</v>
          </cell>
        </row>
        <row r="236">
          <cell r="I236">
            <v>0</v>
          </cell>
        </row>
        <row r="237">
          <cell r="I237">
            <v>0</v>
          </cell>
        </row>
        <row r="238">
          <cell r="I238">
            <v>0</v>
          </cell>
        </row>
        <row r="239">
          <cell r="I239">
            <v>0</v>
          </cell>
        </row>
        <row r="240">
          <cell r="I240">
            <v>0</v>
          </cell>
        </row>
        <row r="241">
          <cell r="I241">
            <v>0</v>
          </cell>
        </row>
        <row r="242">
          <cell r="I242">
            <v>0</v>
          </cell>
        </row>
        <row r="243">
          <cell r="I243">
            <v>0</v>
          </cell>
        </row>
        <row r="244">
          <cell r="I244">
            <v>0</v>
          </cell>
        </row>
        <row r="245">
          <cell r="I245">
            <v>0</v>
          </cell>
        </row>
        <row r="246">
          <cell r="I246">
            <v>0</v>
          </cell>
        </row>
        <row r="247">
          <cell r="I247">
            <v>0</v>
          </cell>
        </row>
        <row r="248">
          <cell r="I248">
            <v>0</v>
          </cell>
        </row>
        <row r="249">
          <cell r="I249">
            <v>0</v>
          </cell>
        </row>
        <row r="250">
          <cell r="I250">
            <v>0</v>
          </cell>
        </row>
        <row r="251">
          <cell r="I251">
            <v>0</v>
          </cell>
        </row>
        <row r="252">
          <cell r="I252">
            <v>0</v>
          </cell>
        </row>
        <row r="253">
          <cell r="I253">
            <v>0</v>
          </cell>
        </row>
        <row r="254">
          <cell r="I254">
            <v>0</v>
          </cell>
        </row>
        <row r="255">
          <cell r="I255">
            <v>0</v>
          </cell>
        </row>
        <row r="256">
          <cell r="I256">
            <v>0</v>
          </cell>
        </row>
        <row r="257">
          <cell r="I257">
            <v>0</v>
          </cell>
        </row>
        <row r="258">
          <cell r="I258">
            <v>0</v>
          </cell>
        </row>
        <row r="259">
          <cell r="I259">
            <v>0</v>
          </cell>
        </row>
        <row r="260">
          <cell r="I260">
            <v>0</v>
          </cell>
        </row>
        <row r="261">
          <cell r="I261">
            <v>0</v>
          </cell>
        </row>
        <row r="262">
          <cell r="I262">
            <v>0</v>
          </cell>
        </row>
        <row r="263">
          <cell r="I263">
            <v>0</v>
          </cell>
        </row>
        <row r="264">
          <cell r="I264">
            <v>0</v>
          </cell>
        </row>
        <row r="265">
          <cell r="I265">
            <v>0</v>
          </cell>
        </row>
        <row r="266">
          <cell r="I266">
            <v>0</v>
          </cell>
        </row>
        <row r="267">
          <cell r="I267">
            <v>0</v>
          </cell>
        </row>
        <row r="268">
          <cell r="I268">
            <v>0</v>
          </cell>
        </row>
        <row r="269">
          <cell r="I269">
            <v>0</v>
          </cell>
        </row>
        <row r="270">
          <cell r="I270">
            <v>0</v>
          </cell>
        </row>
        <row r="271">
          <cell r="I271">
            <v>0</v>
          </cell>
        </row>
        <row r="272">
          <cell r="I272">
            <v>0</v>
          </cell>
        </row>
        <row r="273">
          <cell r="I273">
            <v>0</v>
          </cell>
        </row>
        <row r="274">
          <cell r="I274">
            <v>0</v>
          </cell>
        </row>
        <row r="275">
          <cell r="I275">
            <v>0</v>
          </cell>
        </row>
        <row r="276">
          <cell r="I276">
            <v>0</v>
          </cell>
        </row>
        <row r="277">
          <cell r="I277">
            <v>0</v>
          </cell>
        </row>
        <row r="278">
          <cell r="I278">
            <v>0</v>
          </cell>
        </row>
        <row r="279">
          <cell r="I279">
            <v>0</v>
          </cell>
        </row>
        <row r="280">
          <cell r="I280">
            <v>0</v>
          </cell>
        </row>
        <row r="281">
          <cell r="I281">
            <v>0</v>
          </cell>
        </row>
        <row r="282">
          <cell r="I282">
            <v>0</v>
          </cell>
        </row>
        <row r="283">
          <cell r="I283">
            <v>0</v>
          </cell>
        </row>
        <row r="284">
          <cell r="I284">
            <v>0</v>
          </cell>
        </row>
        <row r="285">
          <cell r="I285">
            <v>0</v>
          </cell>
        </row>
        <row r="286">
          <cell r="I286">
            <v>0</v>
          </cell>
        </row>
        <row r="287">
          <cell r="I287">
            <v>0</v>
          </cell>
        </row>
        <row r="288">
          <cell r="I288">
            <v>0</v>
          </cell>
        </row>
        <row r="289">
          <cell r="I289">
            <v>0</v>
          </cell>
        </row>
        <row r="290">
          <cell r="I290">
            <v>0</v>
          </cell>
        </row>
        <row r="291">
          <cell r="I291">
            <v>0</v>
          </cell>
        </row>
        <row r="292">
          <cell r="I292">
            <v>0</v>
          </cell>
        </row>
        <row r="293">
          <cell r="I293">
            <v>0</v>
          </cell>
        </row>
        <row r="294">
          <cell r="I294">
            <v>0</v>
          </cell>
        </row>
        <row r="295">
          <cell r="I295">
            <v>0</v>
          </cell>
        </row>
        <row r="296">
          <cell r="I296">
            <v>0</v>
          </cell>
        </row>
        <row r="297">
          <cell r="I297">
            <v>0</v>
          </cell>
        </row>
        <row r="298">
          <cell r="I298">
            <v>0</v>
          </cell>
        </row>
        <row r="299">
          <cell r="I299">
            <v>0</v>
          </cell>
        </row>
        <row r="300">
          <cell r="I300">
            <v>0</v>
          </cell>
        </row>
        <row r="301">
          <cell r="I301">
            <v>0</v>
          </cell>
        </row>
        <row r="302">
          <cell r="I302">
            <v>0</v>
          </cell>
        </row>
        <row r="303">
          <cell r="I303">
            <v>0</v>
          </cell>
        </row>
        <row r="304">
          <cell r="I304">
            <v>0</v>
          </cell>
        </row>
        <row r="305">
          <cell r="I305">
            <v>0</v>
          </cell>
        </row>
        <row r="306">
          <cell r="I306">
            <v>0</v>
          </cell>
        </row>
        <row r="307">
          <cell r="I307">
            <v>0</v>
          </cell>
        </row>
        <row r="308">
          <cell r="I308">
            <v>0</v>
          </cell>
        </row>
        <row r="309">
          <cell r="I309">
            <v>0</v>
          </cell>
        </row>
        <row r="310">
          <cell r="I310">
            <v>0</v>
          </cell>
        </row>
        <row r="311">
          <cell r="I311">
            <v>0</v>
          </cell>
        </row>
        <row r="312">
          <cell r="I312">
            <v>0</v>
          </cell>
        </row>
        <row r="313">
          <cell r="I313">
            <v>0</v>
          </cell>
        </row>
        <row r="314">
          <cell r="I314">
            <v>0</v>
          </cell>
        </row>
        <row r="315">
          <cell r="I315">
            <v>0</v>
          </cell>
        </row>
        <row r="316">
          <cell r="I316">
            <v>0</v>
          </cell>
        </row>
        <row r="317">
          <cell r="I317">
            <v>0</v>
          </cell>
        </row>
        <row r="318">
          <cell r="I318">
            <v>0</v>
          </cell>
        </row>
        <row r="319">
          <cell r="I319">
            <v>0</v>
          </cell>
        </row>
        <row r="320">
          <cell r="I320">
            <v>0</v>
          </cell>
        </row>
        <row r="321">
          <cell r="I321">
            <v>0</v>
          </cell>
        </row>
        <row r="322">
          <cell r="I322">
            <v>0</v>
          </cell>
        </row>
        <row r="323">
          <cell r="I323">
            <v>0</v>
          </cell>
        </row>
        <row r="324">
          <cell r="I324">
            <v>0</v>
          </cell>
        </row>
        <row r="325">
          <cell r="I325">
            <v>0</v>
          </cell>
        </row>
        <row r="326">
          <cell r="I326">
            <v>0</v>
          </cell>
        </row>
        <row r="327">
          <cell r="I327">
            <v>0</v>
          </cell>
        </row>
        <row r="328">
          <cell r="I328">
            <v>0</v>
          </cell>
        </row>
        <row r="329">
          <cell r="I329">
            <v>0</v>
          </cell>
        </row>
        <row r="330">
          <cell r="I330">
            <v>0</v>
          </cell>
        </row>
        <row r="331">
          <cell r="I331">
            <v>0</v>
          </cell>
        </row>
        <row r="332">
          <cell r="I332">
            <v>0</v>
          </cell>
        </row>
        <row r="333">
          <cell r="I333">
            <v>0</v>
          </cell>
        </row>
        <row r="334">
          <cell r="I334">
            <v>0</v>
          </cell>
        </row>
        <row r="335">
          <cell r="I335">
            <v>0</v>
          </cell>
        </row>
        <row r="336">
          <cell r="I336">
            <v>0</v>
          </cell>
        </row>
        <row r="337">
          <cell r="I337">
            <v>0</v>
          </cell>
        </row>
        <row r="338">
          <cell r="I338">
            <v>0</v>
          </cell>
        </row>
        <row r="339">
          <cell r="I339">
            <v>0</v>
          </cell>
        </row>
        <row r="340">
          <cell r="I340">
            <v>0</v>
          </cell>
        </row>
        <row r="341">
          <cell r="I341">
            <v>0</v>
          </cell>
        </row>
        <row r="342">
          <cell r="I342">
            <v>0</v>
          </cell>
        </row>
        <row r="343">
          <cell r="I343">
            <v>0</v>
          </cell>
        </row>
        <row r="344">
          <cell r="I344">
            <v>0</v>
          </cell>
        </row>
        <row r="345">
          <cell r="I345">
            <v>0</v>
          </cell>
        </row>
        <row r="346">
          <cell r="I346">
            <v>0</v>
          </cell>
        </row>
        <row r="347">
          <cell r="I347">
            <v>0</v>
          </cell>
        </row>
        <row r="348">
          <cell r="I348">
            <v>0</v>
          </cell>
        </row>
        <row r="349">
          <cell r="I349">
            <v>0</v>
          </cell>
        </row>
        <row r="350">
          <cell r="I350">
            <v>0</v>
          </cell>
        </row>
        <row r="351">
          <cell r="I351">
            <v>0</v>
          </cell>
        </row>
        <row r="352">
          <cell r="I352">
            <v>0</v>
          </cell>
        </row>
        <row r="353">
          <cell r="I353">
            <v>0</v>
          </cell>
        </row>
        <row r="354">
          <cell r="I354">
            <v>0</v>
          </cell>
        </row>
        <row r="355">
          <cell r="I355">
            <v>0</v>
          </cell>
        </row>
        <row r="356">
          <cell r="I356">
            <v>0</v>
          </cell>
        </row>
        <row r="357">
          <cell r="I357">
            <v>0</v>
          </cell>
        </row>
        <row r="358">
          <cell r="I358">
            <v>0</v>
          </cell>
        </row>
        <row r="359">
          <cell r="I359">
            <v>0</v>
          </cell>
        </row>
        <row r="360">
          <cell r="I360">
            <v>0</v>
          </cell>
        </row>
        <row r="361">
          <cell r="I361">
            <v>0</v>
          </cell>
        </row>
        <row r="362">
          <cell r="I362">
            <v>0</v>
          </cell>
        </row>
        <row r="363">
          <cell r="I363">
            <v>0</v>
          </cell>
        </row>
        <row r="364">
          <cell r="I364">
            <v>0</v>
          </cell>
        </row>
        <row r="365">
          <cell r="I365">
            <v>0</v>
          </cell>
        </row>
        <row r="366">
          <cell r="I366">
            <v>0</v>
          </cell>
        </row>
        <row r="367">
          <cell r="I367">
            <v>0</v>
          </cell>
        </row>
        <row r="368">
          <cell r="I368">
            <v>0</v>
          </cell>
        </row>
        <row r="369">
          <cell r="I369">
            <v>0</v>
          </cell>
        </row>
        <row r="370">
          <cell r="I370">
            <v>0</v>
          </cell>
        </row>
        <row r="371">
          <cell r="I371">
            <v>0</v>
          </cell>
        </row>
        <row r="372">
          <cell r="I372">
            <v>0</v>
          </cell>
        </row>
        <row r="373">
          <cell r="I373">
            <v>0</v>
          </cell>
        </row>
        <row r="374">
          <cell r="I374">
            <v>0</v>
          </cell>
        </row>
        <row r="375">
          <cell r="I375">
            <v>0</v>
          </cell>
        </row>
        <row r="376">
          <cell r="I376">
            <v>0</v>
          </cell>
        </row>
        <row r="377">
          <cell r="I377">
            <v>0</v>
          </cell>
        </row>
        <row r="378">
          <cell r="I378">
            <v>0</v>
          </cell>
        </row>
        <row r="379">
          <cell r="I379">
            <v>0</v>
          </cell>
        </row>
        <row r="380">
          <cell r="I380">
            <v>0</v>
          </cell>
        </row>
        <row r="381">
          <cell r="I381">
            <v>0</v>
          </cell>
        </row>
        <row r="382">
          <cell r="I382">
            <v>0</v>
          </cell>
        </row>
        <row r="383">
          <cell r="I383">
            <v>0</v>
          </cell>
        </row>
        <row r="384">
          <cell r="I384">
            <v>0</v>
          </cell>
        </row>
        <row r="385">
          <cell r="I385">
            <v>0</v>
          </cell>
        </row>
        <row r="386">
          <cell r="I386">
            <v>0</v>
          </cell>
        </row>
        <row r="387">
          <cell r="I387">
            <v>0</v>
          </cell>
        </row>
        <row r="388">
          <cell r="I388">
            <v>0</v>
          </cell>
        </row>
        <row r="389">
          <cell r="I389">
            <v>0</v>
          </cell>
        </row>
        <row r="390">
          <cell r="I390">
            <v>0</v>
          </cell>
        </row>
        <row r="391">
          <cell r="I391">
            <v>0</v>
          </cell>
        </row>
        <row r="392">
          <cell r="I392">
            <v>0</v>
          </cell>
        </row>
        <row r="393">
          <cell r="I393">
            <v>0</v>
          </cell>
        </row>
        <row r="394">
          <cell r="I394">
            <v>0</v>
          </cell>
        </row>
        <row r="395">
          <cell r="I395">
            <v>0</v>
          </cell>
        </row>
        <row r="396">
          <cell r="I396">
            <v>0</v>
          </cell>
        </row>
        <row r="397">
          <cell r="I397">
            <v>0</v>
          </cell>
        </row>
        <row r="398">
          <cell r="I398">
            <v>0</v>
          </cell>
        </row>
        <row r="399">
          <cell r="I399">
            <v>0</v>
          </cell>
        </row>
        <row r="400">
          <cell r="I400">
            <v>0</v>
          </cell>
        </row>
        <row r="401">
          <cell r="I401">
            <v>0</v>
          </cell>
        </row>
        <row r="402">
          <cell r="I402">
            <v>0</v>
          </cell>
        </row>
        <row r="403">
          <cell r="I403">
            <v>0</v>
          </cell>
        </row>
        <row r="404">
          <cell r="I404">
            <v>0</v>
          </cell>
        </row>
        <row r="405">
          <cell r="I405">
            <v>0</v>
          </cell>
        </row>
        <row r="406">
          <cell r="I406">
            <v>0</v>
          </cell>
        </row>
        <row r="407">
          <cell r="I407">
            <v>0</v>
          </cell>
        </row>
        <row r="408">
          <cell r="I408">
            <v>0</v>
          </cell>
        </row>
        <row r="409">
          <cell r="I409">
            <v>0</v>
          </cell>
        </row>
        <row r="410">
          <cell r="I410">
            <v>0</v>
          </cell>
        </row>
        <row r="411">
          <cell r="I411">
            <v>0</v>
          </cell>
        </row>
        <row r="412">
          <cell r="I412">
            <v>0</v>
          </cell>
        </row>
        <row r="413">
          <cell r="I413">
            <v>0</v>
          </cell>
        </row>
        <row r="414">
          <cell r="I414">
            <v>0</v>
          </cell>
        </row>
        <row r="415">
          <cell r="I415">
            <v>0</v>
          </cell>
        </row>
        <row r="416">
          <cell r="I416">
            <v>0</v>
          </cell>
        </row>
        <row r="417">
          <cell r="I417">
            <v>0</v>
          </cell>
        </row>
        <row r="418">
          <cell r="I418">
            <v>0</v>
          </cell>
        </row>
        <row r="419">
          <cell r="I419">
            <v>0</v>
          </cell>
        </row>
        <row r="420">
          <cell r="I420">
            <v>0</v>
          </cell>
        </row>
        <row r="421">
          <cell r="I421">
            <v>0</v>
          </cell>
        </row>
        <row r="422">
          <cell r="I422">
            <v>0</v>
          </cell>
        </row>
        <row r="423">
          <cell r="I423">
            <v>0</v>
          </cell>
        </row>
        <row r="424">
          <cell r="I424">
            <v>0</v>
          </cell>
        </row>
        <row r="425">
          <cell r="I425">
            <v>0</v>
          </cell>
        </row>
        <row r="426">
          <cell r="I426">
            <v>0</v>
          </cell>
        </row>
        <row r="427">
          <cell r="I427">
            <v>0</v>
          </cell>
        </row>
        <row r="428">
          <cell r="I428">
            <v>0</v>
          </cell>
        </row>
        <row r="429">
          <cell r="I429">
            <v>0</v>
          </cell>
        </row>
        <row r="430">
          <cell r="I430">
            <v>0</v>
          </cell>
        </row>
        <row r="431">
          <cell r="I431">
            <v>0</v>
          </cell>
        </row>
        <row r="432">
          <cell r="I432">
            <v>0</v>
          </cell>
        </row>
        <row r="433">
          <cell r="I433">
            <v>0</v>
          </cell>
        </row>
        <row r="434">
          <cell r="I434">
            <v>0</v>
          </cell>
        </row>
        <row r="435">
          <cell r="I435">
            <v>0</v>
          </cell>
        </row>
        <row r="436">
          <cell r="I436">
            <v>0</v>
          </cell>
        </row>
        <row r="437">
          <cell r="I437">
            <v>0</v>
          </cell>
        </row>
        <row r="438">
          <cell r="I438">
            <v>0</v>
          </cell>
        </row>
        <row r="439">
          <cell r="I439">
            <v>0</v>
          </cell>
        </row>
        <row r="440">
          <cell r="I440">
            <v>0</v>
          </cell>
        </row>
        <row r="441">
          <cell r="I441">
            <v>0</v>
          </cell>
        </row>
        <row r="442">
          <cell r="I442">
            <v>0</v>
          </cell>
        </row>
        <row r="443">
          <cell r="I443">
            <v>0</v>
          </cell>
        </row>
        <row r="444">
          <cell r="I444">
            <v>0</v>
          </cell>
        </row>
        <row r="445">
          <cell r="I445">
            <v>0</v>
          </cell>
        </row>
        <row r="446">
          <cell r="I446">
            <v>0</v>
          </cell>
        </row>
        <row r="447">
          <cell r="I447">
            <v>0</v>
          </cell>
        </row>
        <row r="448">
          <cell r="I448">
            <v>0</v>
          </cell>
        </row>
        <row r="449">
          <cell r="I449">
            <v>0</v>
          </cell>
        </row>
        <row r="450">
          <cell r="I450">
            <v>0</v>
          </cell>
        </row>
        <row r="451">
          <cell r="I451">
            <v>0</v>
          </cell>
        </row>
        <row r="452">
          <cell r="I452">
            <v>0</v>
          </cell>
        </row>
        <row r="453">
          <cell r="I453">
            <v>0</v>
          </cell>
        </row>
        <row r="454">
          <cell r="I454">
            <v>0</v>
          </cell>
        </row>
        <row r="455">
          <cell r="I455">
            <v>0</v>
          </cell>
        </row>
        <row r="456">
          <cell r="I456">
            <v>0</v>
          </cell>
        </row>
        <row r="457">
          <cell r="I457">
            <v>0</v>
          </cell>
        </row>
        <row r="458">
          <cell r="I458">
            <v>0</v>
          </cell>
        </row>
        <row r="459">
          <cell r="I459">
            <v>0</v>
          </cell>
        </row>
        <row r="460">
          <cell r="I460">
            <v>0</v>
          </cell>
        </row>
        <row r="461">
          <cell r="I461">
            <v>0</v>
          </cell>
        </row>
        <row r="462">
          <cell r="I462">
            <v>0</v>
          </cell>
        </row>
        <row r="463">
          <cell r="I463">
            <v>0</v>
          </cell>
        </row>
        <row r="464">
          <cell r="I464">
            <v>0</v>
          </cell>
        </row>
        <row r="465">
          <cell r="I465">
            <v>0</v>
          </cell>
        </row>
        <row r="466">
          <cell r="I466">
            <v>0</v>
          </cell>
        </row>
        <row r="467">
          <cell r="I467">
            <v>0</v>
          </cell>
        </row>
        <row r="468">
          <cell r="I468">
            <v>0</v>
          </cell>
        </row>
        <row r="469">
          <cell r="I469">
            <v>0</v>
          </cell>
        </row>
        <row r="470">
          <cell r="I470">
            <v>0</v>
          </cell>
        </row>
        <row r="471">
          <cell r="I471">
            <v>0</v>
          </cell>
        </row>
        <row r="472">
          <cell r="I472">
            <v>0</v>
          </cell>
        </row>
        <row r="473">
          <cell r="I473">
            <v>0</v>
          </cell>
        </row>
        <row r="474">
          <cell r="I474">
            <v>0</v>
          </cell>
        </row>
        <row r="475">
          <cell r="I475">
            <v>0</v>
          </cell>
        </row>
        <row r="476">
          <cell r="I476">
            <v>0</v>
          </cell>
        </row>
        <row r="477">
          <cell r="I477">
            <v>0</v>
          </cell>
        </row>
        <row r="478">
          <cell r="I478">
            <v>0</v>
          </cell>
        </row>
        <row r="479">
          <cell r="I479">
            <v>0</v>
          </cell>
        </row>
        <row r="480">
          <cell r="I480">
            <v>0</v>
          </cell>
        </row>
        <row r="481">
          <cell r="I481">
            <v>0</v>
          </cell>
        </row>
        <row r="482">
          <cell r="I482">
            <v>0</v>
          </cell>
        </row>
        <row r="483">
          <cell r="I483">
            <v>0</v>
          </cell>
        </row>
        <row r="484">
          <cell r="I484">
            <v>0</v>
          </cell>
        </row>
        <row r="485">
          <cell r="I485">
            <v>0</v>
          </cell>
        </row>
        <row r="486">
          <cell r="I486">
            <v>0</v>
          </cell>
        </row>
        <row r="487">
          <cell r="I487">
            <v>0</v>
          </cell>
        </row>
        <row r="488">
          <cell r="I488">
            <v>0</v>
          </cell>
        </row>
        <row r="489">
          <cell r="I489">
            <v>0</v>
          </cell>
        </row>
        <row r="490">
          <cell r="I490">
            <v>0</v>
          </cell>
        </row>
        <row r="491">
          <cell r="I491">
            <v>0</v>
          </cell>
        </row>
        <row r="492">
          <cell r="I492">
            <v>0</v>
          </cell>
        </row>
        <row r="493">
          <cell r="I493">
            <v>0</v>
          </cell>
        </row>
        <row r="494">
          <cell r="I494">
            <v>0</v>
          </cell>
        </row>
        <row r="495">
          <cell r="I495">
            <v>0</v>
          </cell>
        </row>
        <row r="496">
          <cell r="I496">
            <v>0</v>
          </cell>
        </row>
        <row r="497">
          <cell r="I49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E12"/>
  <sheetViews>
    <sheetView view="pageBreakPreview" zoomScaleNormal="100" workbookViewId="0">
      <selection activeCell="B2" sqref="B2:B3"/>
    </sheetView>
  </sheetViews>
  <sheetFormatPr defaultColWidth="0" defaultRowHeight="14.25" customHeight="1" zeroHeight="1" outlineLevelCol="4"/>
  <cols>
    <col min="1" max="1" width="15.8555555555556" style="158" customWidth="1"/>
    <col min="2" max="2" width="26.2888888888889" style="158" customWidth="1"/>
    <col min="3" max="3" width="31.1444444444444" style="158" customWidth="1"/>
    <col min="4" max="4" width="31.4222222222222" style="159" customWidth="1"/>
    <col min="5" max="5" width="29.7111111111111" style="159" customWidth="1"/>
    <col min="6" max="6" width="1" style="158" customWidth="1"/>
    <col min="7" max="16384" width="10.7111111111111" style="158" hidden="1"/>
  </cols>
  <sheetData>
    <row r="1" ht="58.5" customHeight="1"/>
    <row r="2" ht="10.2" customHeight="1" spans="1:5">
      <c r="B2" s="32" t="s">
        <v>0</v>
      </c>
      <c r="C2" s="160" t="s">
        <v>1</v>
      </c>
      <c r="D2" s="161" t="e">
        <f>#REF!</f>
        <v>#REF!</v>
      </c>
      <c r="E2" s="162" t="e">
        <f>#REF!</f>
        <v>#REF!</v>
      </c>
    </row>
    <row r="3" s="157" customFormat="1" ht="9" customHeight="1" spans="1:5">
      <c r="B3" s="32"/>
      <c r="C3" s="160" t="s">
        <v>2</v>
      </c>
      <c r="D3" s="161"/>
      <c r="E3" s="162"/>
    </row>
    <row r="4" ht="3.75" customHeight="1"/>
    <row r="5" ht="20.25" customHeight="1" spans="1:5">
      <c r="A5" s="36" t="e">
        <f>#REF!</f>
        <v>#REF!</v>
      </c>
      <c r="B5" s="36"/>
      <c r="C5" s="36"/>
      <c r="D5" s="162" t="s">
        <v>3</v>
      </c>
      <c r="E5" s="162"/>
    </row>
    <row r="6" ht="16.5" customHeight="1" spans="1:5">
      <c r="D6" s="162"/>
      <c r="E6" s="162"/>
    </row>
    <row r="7" spans="1:5">
      <c r="A7" s="163" t="e">
        <f>#REF!</f>
        <v>#REF!</v>
      </c>
      <c r="B7" s="163"/>
      <c r="C7" s="163"/>
    </row>
    <row r="8" spans="1:5">
      <c r="A8" s="163"/>
      <c r="B8" s="163"/>
      <c r="C8" s="163"/>
    </row>
    <row r="9" ht="105.75" customHeight="1" spans="1:5">
      <c r="D9" s="164"/>
    </row>
    <row r="10" ht="20.25" customHeight="1" spans="1:5">
      <c r="A10" s="35" t="s">
        <v>4</v>
      </c>
      <c r="B10" s="35"/>
      <c r="C10" s="35"/>
      <c r="D10" s="35"/>
      <c r="E10" s="35"/>
    </row>
    <row r="11" ht="18.75" customHeight="1"/>
    <row r="12" ht="6" customHeight="1"/>
  </sheetData>
  <mergeCells count="7">
    <mergeCell ref="A5:C5"/>
    <mergeCell ref="A10:E10"/>
    <mergeCell ref="B2:B3"/>
    <mergeCell ref="D2:D3"/>
    <mergeCell ref="E2:E3"/>
    <mergeCell ref="D5:E6"/>
    <mergeCell ref="A7:C8"/>
  </mergeCells>
  <pageMargins left="0" right="0" top="0" bottom="0.75" header="0.3" footer="0.3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5" tint="0.399975585192419"/>
    <pageSetUpPr fitToPage="1"/>
  </sheetPr>
  <dimension ref="A1:J498"/>
  <sheetViews>
    <sheetView showGridLines="0" tabSelected="1" view="pageBreakPreview" zoomScaleNormal="70" workbookViewId="0">
      <pane ySplit="16" topLeftCell="A17" activePane="bottomLeft" state="frozen"/>
      <selection/>
      <selection pane="bottomLeft" activeCell="I11" sqref="I11"/>
    </sheetView>
  </sheetViews>
  <sheetFormatPr defaultColWidth="0" defaultRowHeight="12.75" customHeight="1" zeroHeight="1"/>
  <cols>
    <col min="1" max="1" width="7.28888888888889" style="107" customWidth="1"/>
    <col min="2" max="2" width="22.8555555555556" style="108" customWidth="1"/>
    <col min="3" max="4" width="16.8555555555556" style="108" customWidth="1"/>
    <col min="5" max="5" width="17.1444444444444" style="108" hidden="1" customWidth="1"/>
    <col min="6" max="6" width="16.8555555555556" style="108" hidden="1" customWidth="1"/>
    <col min="7" max="10" width="16.8555555555556" style="108" customWidth="1"/>
    <col min="11" max="11" width="1" customWidth="1"/>
    <col min="12" max="16384" width="9.28888888888889" hidden="1"/>
  </cols>
  <sheetData>
    <row r="1" ht="22.5" spans="1:10">
      <c r="A1" s="109" t="s">
        <v>5</v>
      </c>
      <c r="B1" s="110"/>
      <c r="C1" s="110"/>
      <c r="D1" s="110"/>
      <c r="E1" s="111"/>
      <c r="F1" s="111"/>
      <c r="G1" s="111"/>
      <c r="H1" s="111"/>
      <c r="I1" s="111"/>
      <c r="J1" s="111"/>
    </row>
    <row r="2" hidden="1" spans="1:10">
      <c r="A2" s="112"/>
      <c r="B2" s="113"/>
      <c r="C2" s="113"/>
      <c r="D2" s="113"/>
      <c r="E2" s="113"/>
      <c r="F2" s="113"/>
      <c r="G2" s="113"/>
      <c r="H2" s="113"/>
      <c r="I2" s="113"/>
      <c r="J2" s="113"/>
    </row>
    <row r="3" spans="1:10">
      <c r="A3" s="111"/>
      <c r="B3" s="110"/>
      <c r="C3" s="110"/>
      <c r="D3" s="110"/>
      <c r="E3" s="110"/>
      <c r="F3" s="110"/>
      <c r="G3" s="110"/>
      <c r="H3" s="110"/>
      <c r="I3" s="110"/>
      <c r="J3" s="110"/>
    </row>
    <row r="4" ht="15" spans="1:10">
      <c r="A4" s="111"/>
      <c r="B4" s="114" t="s">
        <v>6</v>
      </c>
      <c r="C4" s="115"/>
      <c r="D4" s="116"/>
      <c r="E4" s="111"/>
      <c r="F4" s="110"/>
      <c r="G4" s="110"/>
      <c r="H4" s="117" t="s">
        <v>7</v>
      </c>
      <c r="I4" s="118"/>
      <c r="J4" s="119"/>
    </row>
    <row r="5" spans="1:10">
      <c r="A5" s="111"/>
      <c r="B5" s="120"/>
      <c r="C5" s="121" t="s">
        <v>8</v>
      </c>
      <c r="D5" s="122">
        <v>20000</v>
      </c>
      <c r="E5" s="111"/>
      <c r="F5" s="110"/>
      <c r="G5" s="123">
        <v>24</v>
      </c>
      <c r="H5" s="120"/>
      <c r="I5" s="121" t="s">
        <v>9</v>
      </c>
      <c r="J5" s="124">
        <f>ABS(PMT(Interest_Rate/Num_Pmt_Per_Year,Loan_Years*Num_Pmt_Per_Year,Loan_Amount))</f>
        <v>3570.51624670405</v>
      </c>
    </row>
    <row r="6" spans="1:10">
      <c r="A6" s="111"/>
      <c r="B6" s="120"/>
      <c r="C6" s="121" t="s">
        <v>10</v>
      </c>
      <c r="D6" s="125">
        <v>0.12</v>
      </c>
      <c r="E6" s="111"/>
      <c r="G6" s="110"/>
      <c r="H6" s="120"/>
      <c r="I6" s="121" t="s">
        <v>11</v>
      </c>
      <c r="J6" s="126">
        <f>Num_Pmt_Per_Year</f>
        <v>6</v>
      </c>
    </row>
    <row r="7" spans="1:10">
      <c r="A7" s="111"/>
      <c r="B7" s="120"/>
      <c r="C7" s="121" t="s">
        <v>12</v>
      </c>
      <c r="D7" s="127">
        <v>1</v>
      </c>
      <c r="E7" s="111"/>
      <c r="F7" s="110"/>
      <c r="G7" s="110"/>
      <c r="H7" s="120"/>
      <c r="I7" s="121" t="s">
        <v>13</v>
      </c>
      <c r="J7" s="126">
        <f>J6</f>
        <v>6</v>
      </c>
    </row>
    <row r="8" spans="1:10">
      <c r="A8" s="111"/>
      <c r="B8" s="120"/>
      <c r="C8" s="121" t="s">
        <v>14</v>
      </c>
      <c r="D8" s="128">
        <v>6</v>
      </c>
      <c r="E8" s="111"/>
      <c r="F8" s="110"/>
      <c r="G8" s="108" t="s">
        <v>15</v>
      </c>
      <c r="H8" s="120"/>
      <c r="I8" s="121" t="s">
        <v>16</v>
      </c>
      <c r="J8" s="126">
        <v>0</v>
      </c>
    </row>
    <row r="9" spans="1:10">
      <c r="A9" s="111"/>
      <c r="B9" s="120"/>
      <c r="C9" s="121" t="s">
        <v>17</v>
      </c>
      <c r="D9" s="129">
        <f ca="1">+TODAY()</f>
        <v>46266</v>
      </c>
      <c r="E9" s="111"/>
      <c r="F9" s="110"/>
      <c r="G9" s="110"/>
      <c r="H9" s="120"/>
      <c r="I9" s="121" t="s">
        <v>18</v>
      </c>
      <c r="J9" s="130">
        <f>SUM(Int)</f>
        <v>1423.0974802243</v>
      </c>
    </row>
    <row r="10" hidden="1" spans="1:10">
      <c r="A10" s="111"/>
      <c r="B10" s="131"/>
      <c r="C10" s="132" t="s">
        <v>19</v>
      </c>
      <c r="D10" s="133"/>
      <c r="E10" s="111"/>
      <c r="F10" s="110"/>
      <c r="G10" s="110"/>
      <c r="H10" s="120"/>
      <c r="I10" s="121"/>
      <c r="J10" s="130"/>
    </row>
    <row r="11" ht="18" spans="1:10">
      <c r="A11" s="111"/>
      <c r="B11" s="134" t="s">
        <v>20</v>
      </c>
      <c r="C11" s="135" t="s">
        <v>21</v>
      </c>
      <c r="D11" s="136"/>
      <c r="E11" s="110"/>
      <c r="F11" s="137"/>
      <c r="G11" s="137"/>
      <c r="H11" s="131"/>
      <c r="I11" s="132" t="s">
        <v>22</v>
      </c>
      <c r="J11" s="138">
        <f>+J9/Loan_Amount</f>
        <v>0.071154874011215</v>
      </c>
    </row>
    <row r="12" hidden="1" spans="1:10">
      <c r="B12" s="139"/>
      <c r="C12" s="107"/>
      <c r="D12" s="140"/>
      <c r="E12" s="140"/>
      <c r="F12" s="140"/>
      <c r="G12" s="140"/>
      <c r="H12" s="140"/>
      <c r="I12" s="141"/>
      <c r="J12" s="141"/>
    </row>
    <row r="13" spans="1:10">
      <c r="A13" s="142"/>
      <c r="B13" s="143"/>
      <c r="C13" s="143"/>
      <c r="D13" s="143"/>
      <c r="E13" s="143"/>
      <c r="F13" s="143"/>
      <c r="G13" s="143"/>
      <c r="H13" s="143"/>
      <c r="I13" s="143"/>
      <c r="J13" s="143"/>
    </row>
    <row r="14" ht="14.25" hidden="1" spans="1:10">
      <c r="A14" s="144"/>
      <c r="B14" s="145"/>
      <c r="C14" s="145"/>
      <c r="D14" s="145"/>
      <c r="E14" s="145"/>
      <c r="F14" s="145"/>
      <c r="G14" s="145"/>
      <c r="H14" s="145"/>
      <c r="I14" s="145"/>
      <c r="J14" s="145"/>
    </row>
    <row r="15" ht="30" spans="1:10">
      <c r="A15" s="146" t="s">
        <v>23</v>
      </c>
      <c r="B15" s="147" t="s">
        <v>24</v>
      </c>
      <c r="C15" s="148" t="s">
        <v>25</v>
      </c>
      <c r="D15" s="148" t="s">
        <v>26</v>
      </c>
      <c r="E15" s="148" t="s">
        <v>27</v>
      </c>
      <c r="F15" s="148" t="s">
        <v>28</v>
      </c>
      <c r="G15" s="148" t="s">
        <v>29</v>
      </c>
      <c r="H15" s="148" t="s">
        <v>30</v>
      </c>
      <c r="I15" s="148" t="s">
        <v>31</v>
      </c>
      <c r="J15" s="149" t="s">
        <v>32</v>
      </c>
    </row>
    <row r="16" ht="14.25" hidden="1" spans="1:10">
      <c r="A16" s="150"/>
      <c r="B16" s="151"/>
      <c r="C16" s="152"/>
      <c r="D16" s="152"/>
      <c r="E16" s="152"/>
      <c r="F16" s="152"/>
      <c r="G16" s="152"/>
      <c r="H16" s="152"/>
      <c r="I16" s="152"/>
      <c r="J16" s="153"/>
    </row>
    <row r="17" spans="1:10">
      <c r="A17" s="154">
        <v>1</v>
      </c>
      <c r="B17" s="155" t="e">
        <f>VLOOKUP(A17,#REF!,2,0)</f>
        <v>#REF!</v>
      </c>
      <c r="C17" s="156">
        <f>Loan_Amount</f>
        <v>20000</v>
      </c>
      <c r="D17" s="156">
        <f t="shared" ref="D17:D40" si="0">ABS(PMT(Interest_Rate/Num_Pmt_Per_Year,Loan_Years*Num_Pmt_Per_Year,Loan_Amount))</f>
        <v>3570.51624670405</v>
      </c>
      <c r="E17" s="156">
        <f t="shared" ref="E17:E81" si="1">IF(AND(Pay_Num&lt;&gt;"",Sched_Pay+Scheduled_Extra_Payments&lt;Beg_Bal),Scheduled_Extra_Payments,IF(AND(Pay_Num&lt;&gt;"",Beg_Bal-Sched_Pay&gt;0),Beg_Bal-Sched_Pay,IF(Pay_Num&lt;&gt;"",0,"")))</f>
        <v>0</v>
      </c>
      <c r="F17" s="156">
        <f t="shared" ref="F17:F81" si="2">IF(AND(Pay_Num&lt;&gt;"",Sched_Pay+Extra_Pay&lt;Beg_Bal),Sched_Pay+Extra_Pay,IF(Pay_Num&lt;&gt;"",Beg_Bal,""))</f>
        <v>3570.51624670405</v>
      </c>
      <c r="G17" s="156">
        <f t="shared" ref="G17:G82" si="3">IF(Pay_Num&lt;&gt;"",Total_Pay-Int,"")</f>
        <v>3170.51624670405</v>
      </c>
      <c r="H17" s="156">
        <f>IF(Pay_Num&lt;&gt;"",Beg_Bal*(Interest_Rate/Num_Pmt_Per_Year),"")</f>
        <v>400</v>
      </c>
      <c r="I17" s="156">
        <f t="shared" ref="I17:I81" si="4">IF(AND(Pay_Num&lt;&gt;"",Sched_Pay+Extra_Pay&lt;Beg_Bal),Beg_Bal-Princ,IF(Pay_Num&lt;&gt;"",0,""))</f>
        <v>16829.483753296</v>
      </c>
      <c r="J17" s="156">
        <f>SUM($H$17:$H17)</f>
        <v>400</v>
      </c>
    </row>
    <row r="18" spans="1:10">
      <c r="A18" s="154">
        <v>2</v>
      </c>
      <c r="B18" s="155" t="e">
        <f>VLOOKUP(A18,#REF!,2,0)</f>
        <v>#REF!</v>
      </c>
      <c r="C18" s="156">
        <f t="shared" ref="C18:C82" si="5">IF(Pay_Num&lt;&gt;"",I17,"")</f>
        <v>16829.483753296</v>
      </c>
      <c r="D18" s="156">
        <f t="shared" si="0"/>
        <v>3570.51624670405</v>
      </c>
      <c r="E18" s="156">
        <f t="shared" si="1"/>
        <v>0</v>
      </c>
      <c r="F18" s="156">
        <f t="shared" si="2"/>
        <v>3570.51624670405</v>
      </c>
      <c r="G18" s="156">
        <f t="shared" si="3"/>
        <v>3233.92657163813</v>
      </c>
      <c r="H18" s="156">
        <f t="shared" ref="H18:H82" si="6">IF(Pay_Num&lt;&gt;"",Beg_Bal*Interest_Rate/Num_Pmt_Per_Year,"")</f>
        <v>336.589675065919</v>
      </c>
      <c r="I18" s="156">
        <f t="shared" si="4"/>
        <v>13595.5571816578</v>
      </c>
      <c r="J18" s="156">
        <f>SUM($H$17:$H18)</f>
        <v>736.589675065919</v>
      </c>
    </row>
    <row r="19" spans="1:10">
      <c r="A19" s="154">
        <v>3</v>
      </c>
      <c r="B19" s="155" t="e">
        <f>VLOOKUP(A19,#REF!,2,0)</f>
        <v>#REF!</v>
      </c>
      <c r="C19" s="156">
        <f t="shared" si="5"/>
        <v>13595.5571816578</v>
      </c>
      <c r="D19" s="156">
        <f t="shared" si="0"/>
        <v>3570.51624670405</v>
      </c>
      <c r="E19" s="156">
        <f t="shared" si="1"/>
        <v>0</v>
      </c>
      <c r="F19" s="156">
        <f t="shared" si="2"/>
        <v>3570.51624670405</v>
      </c>
      <c r="G19" s="156">
        <f t="shared" si="3"/>
        <v>3298.60510307089</v>
      </c>
      <c r="H19" s="156">
        <f t="shared" si="6"/>
        <v>271.911143633156</v>
      </c>
      <c r="I19" s="156">
        <f t="shared" si="4"/>
        <v>10296.9520785869</v>
      </c>
      <c r="J19" s="156">
        <f>SUM($H$17:$H19)</f>
        <v>1008.50081869908</v>
      </c>
    </row>
    <row r="20" spans="1:10">
      <c r="A20" s="154">
        <v>4</v>
      </c>
      <c r="B20" s="155" t="e">
        <f>VLOOKUP(A20,#REF!,2,0)</f>
        <v>#REF!</v>
      </c>
      <c r="C20" s="156">
        <f t="shared" si="5"/>
        <v>10296.9520785869</v>
      </c>
      <c r="D20" s="156">
        <f t="shared" si="0"/>
        <v>3570.51624670405</v>
      </c>
      <c r="E20" s="156">
        <f t="shared" si="1"/>
        <v>0</v>
      </c>
      <c r="F20" s="156">
        <f t="shared" si="2"/>
        <v>3570.51624670405</v>
      </c>
      <c r="G20" s="156">
        <f t="shared" si="3"/>
        <v>3364.57720513231</v>
      </c>
      <c r="H20" s="156">
        <f t="shared" si="6"/>
        <v>205.939041571739</v>
      </c>
      <c r="I20" s="156">
        <f t="shared" si="4"/>
        <v>6932.37487345462</v>
      </c>
      <c r="J20" s="156">
        <f>SUM($H$17:$H20)</f>
        <v>1214.43986027081</v>
      </c>
    </row>
    <row r="21" spans="1:10">
      <c r="A21" s="154">
        <v>5</v>
      </c>
      <c r="B21" s="155" t="e">
        <f>VLOOKUP(A21,#REF!,2,0)</f>
        <v>#REF!</v>
      </c>
      <c r="C21" s="156">
        <f>IF(Pay_Num&lt;&gt;"",I20,"")</f>
        <v>6932.37487345462</v>
      </c>
      <c r="D21" s="156">
        <f t="shared" si="0"/>
        <v>3570.51624670405</v>
      </c>
      <c r="E21" s="156">
        <f t="shared" si="1"/>
        <v>0</v>
      </c>
      <c r="F21" s="156">
        <f t="shared" si="2"/>
        <v>3570.51624670405</v>
      </c>
      <c r="G21" s="156">
        <f t="shared" si="3"/>
        <v>3431.86874923496</v>
      </c>
      <c r="H21" s="156">
        <f t="shared" si="6"/>
        <v>138.647497469092</v>
      </c>
      <c r="I21" s="156">
        <f t="shared" si="4"/>
        <v>3500.50612421966</v>
      </c>
      <c r="J21" s="156">
        <f>SUM($H$17:$H21)</f>
        <v>1353.08735773991</v>
      </c>
    </row>
    <row r="22" spans="1:10">
      <c r="A22" s="154">
        <v>6</v>
      </c>
      <c r="B22" s="155" t="e">
        <f>VLOOKUP(A22,#REF!,2,0)</f>
        <v>#REF!</v>
      </c>
      <c r="C22" s="156">
        <f t="shared" si="5"/>
        <v>3500.50612421966</v>
      </c>
      <c r="D22" s="156">
        <f t="shared" si="0"/>
        <v>3570.51624670405</v>
      </c>
      <c r="E22" s="156">
        <f t="shared" si="1"/>
        <v>0</v>
      </c>
      <c r="F22" s="156">
        <f t="shared" si="2"/>
        <v>3500.50612421966</v>
      </c>
      <c r="G22" s="156">
        <f t="shared" si="3"/>
        <v>3430.49600173527</v>
      </c>
      <c r="H22" s="156">
        <f t="shared" si="6"/>
        <v>70.0101224843933</v>
      </c>
      <c r="I22" s="156">
        <f t="shared" si="4"/>
        <v>0</v>
      </c>
      <c r="J22" s="156">
        <f>SUM($H$17:$H22)</f>
        <v>1423.0974802243</v>
      </c>
    </row>
    <row r="23" spans="1:10">
      <c r="A23" s="154">
        <v>7</v>
      </c>
      <c r="B23" s="155" t="e">
        <f>VLOOKUP(A23,#REF!,2,0)</f>
        <v>#REF!</v>
      </c>
      <c r="C23" s="156">
        <f t="shared" si="5"/>
        <v>0</v>
      </c>
      <c r="D23" s="156">
        <f t="shared" si="0"/>
        <v>3570.51624670405</v>
      </c>
      <c r="E23" s="156">
        <f t="shared" si="1"/>
        <v>0</v>
      </c>
      <c r="F23" s="156">
        <f t="shared" si="2"/>
        <v>0</v>
      </c>
      <c r="G23" s="156">
        <f t="shared" si="3"/>
        <v>0</v>
      </c>
      <c r="H23" s="156">
        <f t="shared" si="6"/>
        <v>0</v>
      </c>
      <c r="I23" s="156">
        <f t="shared" si="4"/>
        <v>0</v>
      </c>
      <c r="J23" s="156">
        <f>SUM($H$17:$H23)</f>
        <v>1423.0974802243</v>
      </c>
    </row>
    <row r="24" spans="1:10">
      <c r="A24" s="154">
        <v>8</v>
      </c>
      <c r="B24" s="155" t="e">
        <f>VLOOKUP(A24,#REF!,2,0)</f>
        <v>#REF!</v>
      </c>
      <c r="C24" s="156">
        <f t="shared" si="5"/>
        <v>0</v>
      </c>
      <c r="D24" s="156">
        <f t="shared" si="0"/>
        <v>3570.51624670405</v>
      </c>
      <c r="E24" s="156">
        <f t="shared" si="1"/>
        <v>0</v>
      </c>
      <c r="F24" s="156">
        <f t="shared" si="2"/>
        <v>0</v>
      </c>
      <c r="G24" s="156">
        <f t="shared" si="3"/>
        <v>0</v>
      </c>
      <c r="H24" s="156">
        <f t="shared" si="6"/>
        <v>0</v>
      </c>
      <c r="I24" s="156">
        <f t="shared" si="4"/>
        <v>0</v>
      </c>
      <c r="J24" s="156">
        <f>SUM($H$17:$H24)</f>
        <v>1423.0974802243</v>
      </c>
    </row>
    <row r="25" spans="1:10">
      <c r="A25" s="154">
        <v>9</v>
      </c>
      <c r="B25" s="155" t="e">
        <f>VLOOKUP(A25,#REF!,2,0)</f>
        <v>#REF!</v>
      </c>
      <c r="C25" s="156">
        <f t="shared" si="5"/>
        <v>0</v>
      </c>
      <c r="D25" s="156">
        <f t="shared" si="0"/>
        <v>3570.51624670405</v>
      </c>
      <c r="E25" s="156">
        <f t="shared" si="1"/>
        <v>0</v>
      </c>
      <c r="F25" s="156">
        <f t="shared" si="2"/>
        <v>0</v>
      </c>
      <c r="G25" s="156">
        <f t="shared" si="3"/>
        <v>0</v>
      </c>
      <c r="H25" s="156">
        <f t="shared" si="6"/>
        <v>0</v>
      </c>
      <c r="I25" s="156">
        <f t="shared" si="4"/>
        <v>0</v>
      </c>
      <c r="J25" s="156">
        <f>SUM($H$17:$H25)</f>
        <v>1423.0974802243</v>
      </c>
    </row>
    <row r="26" spans="1:10">
      <c r="A26" s="154">
        <v>10</v>
      </c>
      <c r="B26" s="155" t="e">
        <f>VLOOKUP(A26,#REF!,2,0)</f>
        <v>#REF!</v>
      </c>
      <c r="C26" s="156">
        <f t="shared" si="5"/>
        <v>0</v>
      </c>
      <c r="D26" s="156">
        <f t="shared" si="0"/>
        <v>3570.51624670405</v>
      </c>
      <c r="E26" s="156">
        <f t="shared" si="1"/>
        <v>0</v>
      </c>
      <c r="F26" s="156">
        <f t="shared" si="2"/>
        <v>0</v>
      </c>
      <c r="G26" s="156">
        <f t="shared" si="3"/>
        <v>0</v>
      </c>
      <c r="H26" s="156">
        <f t="shared" si="6"/>
        <v>0</v>
      </c>
      <c r="I26" s="156">
        <f t="shared" si="4"/>
        <v>0</v>
      </c>
      <c r="J26" s="156">
        <f>SUM($H$17:$H26)</f>
        <v>1423.0974802243</v>
      </c>
    </row>
    <row r="27" spans="1:10">
      <c r="A27" s="154">
        <v>11</v>
      </c>
      <c r="B27" s="155" t="e">
        <f>VLOOKUP(A27,#REF!,2,0)</f>
        <v>#REF!</v>
      </c>
      <c r="C27" s="156">
        <f t="shared" si="5"/>
        <v>0</v>
      </c>
      <c r="D27" s="156">
        <f t="shared" si="0"/>
        <v>3570.51624670405</v>
      </c>
      <c r="E27" s="156">
        <f t="shared" si="1"/>
        <v>0</v>
      </c>
      <c r="F27" s="156">
        <f t="shared" si="2"/>
        <v>0</v>
      </c>
      <c r="G27" s="156">
        <f t="shared" si="3"/>
        <v>0</v>
      </c>
      <c r="H27" s="156">
        <f t="shared" si="6"/>
        <v>0</v>
      </c>
      <c r="I27" s="156">
        <f t="shared" si="4"/>
        <v>0</v>
      </c>
      <c r="J27" s="156">
        <f>SUM($H$17:$H27)</f>
        <v>1423.0974802243</v>
      </c>
    </row>
    <row r="28" spans="1:10">
      <c r="A28" s="154">
        <v>12</v>
      </c>
      <c r="B28" s="155" t="e">
        <f>VLOOKUP(A28,#REF!,2,0)</f>
        <v>#REF!</v>
      </c>
      <c r="C28" s="156">
        <f t="shared" si="5"/>
        <v>0</v>
      </c>
      <c r="D28" s="156">
        <f t="shared" si="0"/>
        <v>3570.51624670405</v>
      </c>
      <c r="E28" s="156">
        <f t="shared" si="1"/>
        <v>0</v>
      </c>
      <c r="F28" s="156">
        <f t="shared" si="2"/>
        <v>0</v>
      </c>
      <c r="G28" s="156">
        <f t="shared" si="3"/>
        <v>0</v>
      </c>
      <c r="H28" s="156">
        <f t="shared" si="6"/>
        <v>0</v>
      </c>
      <c r="I28" s="156">
        <f t="shared" si="4"/>
        <v>0</v>
      </c>
      <c r="J28" s="156">
        <f>SUM($H$17:$H28)</f>
        <v>1423.0974802243</v>
      </c>
    </row>
    <row r="29" spans="1:10">
      <c r="A29" s="154">
        <v>13</v>
      </c>
      <c r="B29" s="155" t="e">
        <f>VLOOKUP(A29,#REF!,2,0)</f>
        <v>#REF!</v>
      </c>
      <c r="C29" s="156">
        <f t="shared" si="5"/>
        <v>0</v>
      </c>
      <c r="D29" s="156">
        <f t="shared" si="0"/>
        <v>3570.51624670405</v>
      </c>
      <c r="E29" s="156">
        <f t="shared" si="1"/>
        <v>0</v>
      </c>
      <c r="F29" s="156">
        <f t="shared" si="2"/>
        <v>0</v>
      </c>
      <c r="G29" s="156">
        <f t="shared" si="3"/>
        <v>0</v>
      </c>
      <c r="H29" s="156">
        <f t="shared" si="6"/>
        <v>0</v>
      </c>
      <c r="I29" s="156">
        <f t="shared" si="4"/>
        <v>0</v>
      </c>
      <c r="J29" s="156">
        <f>SUM($H$17:$H29)</f>
        <v>1423.0974802243</v>
      </c>
    </row>
    <row r="30" spans="1:10">
      <c r="A30" s="154">
        <v>14</v>
      </c>
      <c r="B30" s="155" t="e">
        <f>VLOOKUP(A30,#REF!,2,0)</f>
        <v>#REF!</v>
      </c>
      <c r="C30" s="156">
        <f t="shared" si="5"/>
        <v>0</v>
      </c>
      <c r="D30" s="156">
        <f t="shared" si="0"/>
        <v>3570.51624670405</v>
      </c>
      <c r="E30" s="156">
        <f t="shared" si="1"/>
        <v>0</v>
      </c>
      <c r="F30" s="156">
        <f t="shared" si="2"/>
        <v>0</v>
      </c>
      <c r="G30" s="156">
        <f t="shared" si="3"/>
        <v>0</v>
      </c>
      <c r="H30" s="156">
        <f t="shared" si="6"/>
        <v>0</v>
      </c>
      <c r="I30" s="156">
        <f t="shared" si="4"/>
        <v>0</v>
      </c>
      <c r="J30" s="156">
        <f>SUM($H$17:$H30)</f>
        <v>1423.0974802243</v>
      </c>
    </row>
    <row r="31" spans="1:10">
      <c r="A31" s="154">
        <v>15</v>
      </c>
      <c r="B31" s="155" t="e">
        <f>VLOOKUP(A31,#REF!,2,0)</f>
        <v>#REF!</v>
      </c>
      <c r="C31" s="156">
        <f t="shared" si="5"/>
        <v>0</v>
      </c>
      <c r="D31" s="156">
        <f t="shared" si="0"/>
        <v>3570.51624670405</v>
      </c>
      <c r="E31" s="156">
        <f t="shared" si="1"/>
        <v>0</v>
      </c>
      <c r="F31" s="156">
        <f t="shared" si="2"/>
        <v>0</v>
      </c>
      <c r="G31" s="156">
        <f t="shared" si="3"/>
        <v>0</v>
      </c>
      <c r="H31" s="156">
        <f t="shared" si="6"/>
        <v>0</v>
      </c>
      <c r="I31" s="156">
        <f t="shared" si="4"/>
        <v>0</v>
      </c>
      <c r="J31" s="156">
        <f>SUM($H$17:$H31)</f>
        <v>1423.0974802243</v>
      </c>
    </row>
    <row r="32" spans="1:10">
      <c r="A32" s="154">
        <v>16</v>
      </c>
      <c r="B32" s="155" t="e">
        <f>VLOOKUP(A32,#REF!,2,0)</f>
        <v>#REF!</v>
      </c>
      <c r="C32" s="156">
        <f t="shared" si="5"/>
        <v>0</v>
      </c>
      <c r="D32" s="156">
        <f t="shared" si="0"/>
        <v>3570.51624670405</v>
      </c>
      <c r="E32" s="156">
        <f t="shared" si="1"/>
        <v>0</v>
      </c>
      <c r="F32" s="156">
        <f t="shared" si="2"/>
        <v>0</v>
      </c>
      <c r="G32" s="156">
        <f t="shared" si="3"/>
        <v>0</v>
      </c>
      <c r="H32" s="156">
        <f t="shared" si="6"/>
        <v>0</v>
      </c>
      <c r="I32" s="156">
        <f t="shared" si="4"/>
        <v>0</v>
      </c>
      <c r="J32" s="156">
        <f>SUM($H$17:$H32)</f>
        <v>1423.0974802243</v>
      </c>
    </row>
    <row r="33" spans="1:10">
      <c r="A33" s="154">
        <v>17</v>
      </c>
      <c r="B33" s="155" t="e">
        <f>VLOOKUP(A33,#REF!,2,0)</f>
        <v>#REF!</v>
      </c>
      <c r="C33" s="156">
        <f>IF(Pay_Num&lt;&gt;"",I32,"")</f>
        <v>0</v>
      </c>
      <c r="D33" s="156">
        <f t="shared" si="0"/>
        <v>3570.51624670405</v>
      </c>
      <c r="E33" s="156">
        <f t="shared" si="1"/>
        <v>0</v>
      </c>
      <c r="F33" s="156">
        <f t="shared" si="2"/>
        <v>0</v>
      </c>
      <c r="G33" s="156">
        <f t="shared" si="3"/>
        <v>0</v>
      </c>
      <c r="H33" s="156">
        <f t="shared" si="6"/>
        <v>0</v>
      </c>
      <c r="I33" s="156">
        <f t="shared" si="4"/>
        <v>0</v>
      </c>
      <c r="J33" s="156">
        <f>SUM($H$17:$H33)</f>
        <v>1423.0974802243</v>
      </c>
    </row>
    <row r="34" spans="1:10">
      <c r="A34" s="154">
        <v>18</v>
      </c>
      <c r="B34" s="155" t="e">
        <f>VLOOKUP(A34,#REF!,2,0)</f>
        <v>#REF!</v>
      </c>
      <c r="C34" s="156">
        <f t="shared" si="5"/>
        <v>0</v>
      </c>
      <c r="D34" s="156">
        <f t="shared" si="0"/>
        <v>3570.51624670405</v>
      </c>
      <c r="E34" s="156">
        <f t="shared" si="1"/>
        <v>0</v>
      </c>
      <c r="F34" s="156">
        <f t="shared" si="2"/>
        <v>0</v>
      </c>
      <c r="G34" s="156">
        <f t="shared" si="3"/>
        <v>0</v>
      </c>
      <c r="H34" s="156">
        <f t="shared" si="6"/>
        <v>0</v>
      </c>
      <c r="I34" s="156">
        <f t="shared" si="4"/>
        <v>0</v>
      </c>
      <c r="J34" s="156">
        <f>SUM($H$17:$H34)</f>
        <v>1423.0974802243</v>
      </c>
    </row>
    <row r="35" spans="1:10">
      <c r="A35" s="154">
        <v>19</v>
      </c>
      <c r="B35" s="155" t="e">
        <f>VLOOKUP(A35,#REF!,2,0)</f>
        <v>#REF!</v>
      </c>
      <c r="C35" s="156">
        <f t="shared" si="5"/>
        <v>0</v>
      </c>
      <c r="D35" s="156">
        <f t="shared" si="0"/>
        <v>3570.51624670405</v>
      </c>
      <c r="E35" s="156">
        <f t="shared" si="1"/>
        <v>0</v>
      </c>
      <c r="F35" s="156">
        <f t="shared" si="2"/>
        <v>0</v>
      </c>
      <c r="G35" s="156">
        <f t="shared" si="3"/>
        <v>0</v>
      </c>
      <c r="H35" s="156">
        <f t="shared" si="6"/>
        <v>0</v>
      </c>
      <c r="I35" s="156">
        <f t="shared" si="4"/>
        <v>0</v>
      </c>
      <c r="J35" s="156">
        <f>SUM($H$17:$H35)</f>
        <v>1423.0974802243</v>
      </c>
    </row>
    <row r="36" spans="1:10">
      <c r="A36" s="154">
        <v>20</v>
      </c>
      <c r="B36" s="155" t="e">
        <f>VLOOKUP(A36,#REF!,2,0)</f>
        <v>#REF!</v>
      </c>
      <c r="C36" s="156">
        <f t="shared" si="5"/>
        <v>0</v>
      </c>
      <c r="D36" s="156">
        <f t="shared" si="0"/>
        <v>3570.51624670405</v>
      </c>
      <c r="E36" s="156">
        <f t="shared" si="1"/>
        <v>0</v>
      </c>
      <c r="F36" s="156">
        <f t="shared" si="2"/>
        <v>0</v>
      </c>
      <c r="G36" s="156">
        <f t="shared" si="3"/>
        <v>0</v>
      </c>
      <c r="H36" s="156">
        <f t="shared" si="6"/>
        <v>0</v>
      </c>
      <c r="I36" s="156">
        <f t="shared" si="4"/>
        <v>0</v>
      </c>
      <c r="J36" s="156">
        <f>SUM($H$17:$H36)</f>
        <v>1423.0974802243</v>
      </c>
    </row>
    <row r="37" spans="1:10">
      <c r="A37" s="154">
        <v>21</v>
      </c>
      <c r="B37" s="155" t="e">
        <f>VLOOKUP(A37,#REF!,2,0)</f>
        <v>#REF!</v>
      </c>
      <c r="C37" s="156">
        <f t="shared" si="5"/>
        <v>0</v>
      </c>
      <c r="D37" s="156">
        <f t="shared" si="0"/>
        <v>3570.51624670405</v>
      </c>
      <c r="E37" s="156">
        <f t="shared" si="1"/>
        <v>0</v>
      </c>
      <c r="F37" s="156">
        <f t="shared" si="2"/>
        <v>0</v>
      </c>
      <c r="G37" s="156">
        <f t="shared" si="3"/>
        <v>0</v>
      </c>
      <c r="H37" s="156">
        <f t="shared" si="6"/>
        <v>0</v>
      </c>
      <c r="I37" s="156">
        <f t="shared" si="4"/>
        <v>0</v>
      </c>
      <c r="J37" s="156">
        <f>SUM($H$17:$H37)</f>
        <v>1423.0974802243</v>
      </c>
    </row>
    <row r="38" spans="1:10">
      <c r="A38" s="154">
        <v>22</v>
      </c>
      <c r="B38" s="155" t="e">
        <f>VLOOKUP(A38,#REF!,2,0)</f>
        <v>#REF!</v>
      </c>
      <c r="C38" s="156">
        <f t="shared" si="5"/>
        <v>0</v>
      </c>
      <c r="D38" s="156">
        <f t="shared" si="0"/>
        <v>3570.51624670405</v>
      </c>
      <c r="E38" s="156">
        <f t="shared" si="1"/>
        <v>0</v>
      </c>
      <c r="F38" s="156">
        <f t="shared" si="2"/>
        <v>0</v>
      </c>
      <c r="G38" s="156">
        <f t="shared" si="3"/>
        <v>0</v>
      </c>
      <c r="H38" s="156">
        <f t="shared" si="6"/>
        <v>0</v>
      </c>
      <c r="I38" s="156">
        <f t="shared" si="4"/>
        <v>0</v>
      </c>
      <c r="J38" s="156">
        <f>SUM($H$17:$H38)</f>
        <v>1423.0974802243</v>
      </c>
    </row>
    <row r="39" spans="1:10">
      <c r="A39" s="154">
        <v>23</v>
      </c>
      <c r="B39" s="155" t="e">
        <f>VLOOKUP(A39,#REF!,2,0)</f>
        <v>#REF!</v>
      </c>
      <c r="C39" s="156">
        <f t="shared" si="5"/>
        <v>0</v>
      </c>
      <c r="D39" s="156">
        <f t="shared" si="0"/>
        <v>3570.51624670405</v>
      </c>
      <c r="E39" s="156">
        <f t="shared" si="1"/>
        <v>0</v>
      </c>
      <c r="F39" s="156">
        <f t="shared" si="2"/>
        <v>0</v>
      </c>
      <c r="G39" s="156">
        <f t="shared" si="3"/>
        <v>0</v>
      </c>
      <c r="H39" s="156">
        <f t="shared" si="6"/>
        <v>0</v>
      </c>
      <c r="I39" s="156">
        <f t="shared" si="4"/>
        <v>0</v>
      </c>
      <c r="J39" s="156">
        <f>SUM($H$17:$H39)</f>
        <v>1423.0974802243</v>
      </c>
    </row>
    <row r="40" spans="1:10">
      <c r="A40" s="154">
        <v>24</v>
      </c>
      <c r="B40" s="155" t="e">
        <f>VLOOKUP(A40,#REF!,2,0)</f>
        <v>#REF!</v>
      </c>
      <c r="C40" s="156">
        <f t="shared" si="5"/>
        <v>0</v>
      </c>
      <c r="D40" s="156">
        <f t="shared" si="0"/>
        <v>3570.51624670405</v>
      </c>
      <c r="E40" s="156">
        <f t="shared" si="1"/>
        <v>0</v>
      </c>
      <c r="F40" s="156">
        <f t="shared" si="2"/>
        <v>0</v>
      </c>
      <c r="G40" s="156">
        <f t="shared" si="3"/>
        <v>0</v>
      </c>
      <c r="H40" s="156">
        <f t="shared" si="6"/>
        <v>0</v>
      </c>
      <c r="I40" s="156">
        <f t="shared" si="4"/>
        <v>0</v>
      </c>
      <c r="J40" s="156">
        <f>SUM($H$17:$H40)</f>
        <v>1423.0974802243</v>
      </c>
    </row>
    <row r="41" spans="1:10">
      <c r="A41" s="154">
        <v>25</v>
      </c>
      <c r="B41" s="155" t="e">
        <f>VLOOKUP(A41,#REF!,2,0)</f>
        <v>#REF!</v>
      </c>
      <c r="C41" s="156">
        <f>IF(Pay_Num&lt;&gt;"",I40,"")</f>
        <v>0</v>
      </c>
      <c r="D41" s="156">
        <f t="shared" ref="D41:D83" si="7">IF(Pay_Num&lt;&gt;"",Scheduled_Monthly_Payment,"")</f>
        <v>3570.51624670405</v>
      </c>
      <c r="E41" s="156">
        <f t="shared" si="1"/>
        <v>0</v>
      </c>
      <c r="F41" s="156">
        <f t="shared" si="2"/>
        <v>0</v>
      </c>
      <c r="G41" s="156">
        <f t="shared" si="3"/>
        <v>0</v>
      </c>
      <c r="H41" s="156">
        <f t="shared" si="6"/>
        <v>0</v>
      </c>
      <c r="I41" s="156">
        <f t="shared" si="4"/>
        <v>0</v>
      </c>
      <c r="J41" s="156">
        <f>SUM($H$17:$H41)</f>
        <v>1423.0974802243</v>
      </c>
    </row>
    <row r="42" spans="1:10">
      <c r="A42" s="154">
        <v>26</v>
      </c>
      <c r="B42" s="155" t="e">
        <f>VLOOKUP(A42,#REF!,2,0)</f>
        <v>#REF!</v>
      </c>
      <c r="C42" s="156">
        <f t="shared" si="5"/>
        <v>0</v>
      </c>
      <c r="D42" s="156">
        <f t="shared" si="7"/>
        <v>3570.51624670405</v>
      </c>
      <c r="E42" s="156">
        <f t="shared" si="1"/>
        <v>0</v>
      </c>
      <c r="F42" s="156">
        <f t="shared" si="2"/>
        <v>0</v>
      </c>
      <c r="G42" s="156">
        <f t="shared" si="3"/>
        <v>0</v>
      </c>
      <c r="H42" s="156">
        <f t="shared" si="6"/>
        <v>0</v>
      </c>
      <c r="I42" s="156">
        <f t="shared" si="4"/>
        <v>0</v>
      </c>
      <c r="J42" s="156">
        <f>SUM($H$17:$H42)</f>
        <v>1423.0974802243</v>
      </c>
    </row>
    <row r="43" spans="1:10">
      <c r="A43" s="154">
        <v>27</v>
      </c>
      <c r="B43" s="155" t="e">
        <f>VLOOKUP(A43,#REF!,2,0)</f>
        <v>#REF!</v>
      </c>
      <c r="C43" s="156">
        <f t="shared" si="5"/>
        <v>0</v>
      </c>
      <c r="D43" s="156">
        <f t="shared" si="7"/>
        <v>3570.51624670405</v>
      </c>
      <c r="E43" s="156">
        <f t="shared" si="1"/>
        <v>0</v>
      </c>
      <c r="F43" s="156">
        <f t="shared" si="2"/>
        <v>0</v>
      </c>
      <c r="G43" s="156">
        <f t="shared" si="3"/>
        <v>0</v>
      </c>
      <c r="H43" s="156">
        <f t="shared" si="6"/>
        <v>0</v>
      </c>
      <c r="I43" s="156">
        <f t="shared" si="4"/>
        <v>0</v>
      </c>
      <c r="J43" s="156">
        <f>SUM($H$17:$H43)</f>
        <v>1423.0974802243</v>
      </c>
    </row>
    <row r="44" spans="1:10">
      <c r="A44" s="154">
        <v>28</v>
      </c>
      <c r="B44" s="155" t="e">
        <f>VLOOKUP(A44,#REF!,2,0)</f>
        <v>#REF!</v>
      </c>
      <c r="C44" s="156">
        <f t="shared" si="5"/>
        <v>0</v>
      </c>
      <c r="D44" s="156">
        <f t="shared" si="7"/>
        <v>3570.51624670405</v>
      </c>
      <c r="E44" s="156">
        <f t="shared" si="1"/>
        <v>0</v>
      </c>
      <c r="F44" s="156">
        <f t="shared" si="2"/>
        <v>0</v>
      </c>
      <c r="G44" s="156">
        <f t="shared" si="3"/>
        <v>0</v>
      </c>
      <c r="H44" s="156">
        <f t="shared" si="6"/>
        <v>0</v>
      </c>
      <c r="I44" s="156">
        <f t="shared" si="4"/>
        <v>0</v>
      </c>
      <c r="J44" s="156">
        <f>SUM($H$17:$H44)</f>
        <v>1423.0974802243</v>
      </c>
    </row>
    <row r="45" spans="1:10">
      <c r="A45" s="154">
        <v>29</v>
      </c>
      <c r="B45" s="155" t="e">
        <f>VLOOKUP(A45,#REF!,2,0)</f>
        <v>#REF!</v>
      </c>
      <c r="C45" s="156">
        <f t="shared" si="5"/>
        <v>0</v>
      </c>
      <c r="D45" s="156">
        <f t="shared" si="7"/>
        <v>3570.51624670405</v>
      </c>
      <c r="E45" s="156">
        <f t="shared" si="1"/>
        <v>0</v>
      </c>
      <c r="F45" s="156">
        <f t="shared" si="2"/>
        <v>0</v>
      </c>
      <c r="G45" s="156">
        <f t="shared" si="3"/>
        <v>0</v>
      </c>
      <c r="H45" s="156">
        <f t="shared" si="6"/>
        <v>0</v>
      </c>
      <c r="I45" s="156">
        <f t="shared" si="4"/>
        <v>0</v>
      </c>
      <c r="J45" s="156">
        <f>SUM($H$17:$H45)</f>
        <v>1423.0974802243</v>
      </c>
    </row>
    <row r="46" spans="1:10">
      <c r="A46" s="154">
        <v>30</v>
      </c>
      <c r="B46" s="155" t="e">
        <f>VLOOKUP(A46,#REF!,2,0)</f>
        <v>#REF!</v>
      </c>
      <c r="C46" s="156">
        <f t="shared" si="5"/>
        <v>0</v>
      </c>
      <c r="D46" s="156">
        <f t="shared" si="7"/>
        <v>3570.51624670405</v>
      </c>
      <c r="E46" s="156">
        <f t="shared" si="1"/>
        <v>0</v>
      </c>
      <c r="F46" s="156">
        <f t="shared" si="2"/>
        <v>0</v>
      </c>
      <c r="G46" s="156">
        <f t="shared" si="3"/>
        <v>0</v>
      </c>
      <c r="H46" s="156">
        <f t="shared" si="6"/>
        <v>0</v>
      </c>
      <c r="I46" s="156">
        <f t="shared" si="4"/>
        <v>0</v>
      </c>
      <c r="J46" s="156">
        <f>SUM($H$17:$H46)</f>
        <v>1423.0974802243</v>
      </c>
    </row>
    <row r="47" spans="1:10">
      <c r="A47" s="154">
        <v>31</v>
      </c>
      <c r="B47" s="155" t="e">
        <f>VLOOKUP(A47,#REF!,2,0)</f>
        <v>#REF!</v>
      </c>
      <c r="C47" s="156">
        <f t="shared" si="5"/>
        <v>0</v>
      </c>
      <c r="D47" s="156">
        <f t="shared" si="7"/>
        <v>3570.51624670405</v>
      </c>
      <c r="E47" s="156">
        <f t="shared" si="1"/>
        <v>0</v>
      </c>
      <c r="F47" s="156">
        <f t="shared" si="2"/>
        <v>0</v>
      </c>
      <c r="G47" s="156">
        <f t="shared" si="3"/>
        <v>0</v>
      </c>
      <c r="H47" s="156">
        <f t="shared" si="6"/>
        <v>0</v>
      </c>
      <c r="I47" s="156">
        <f t="shared" si="4"/>
        <v>0</v>
      </c>
      <c r="J47" s="156">
        <f>SUM($H$17:$H47)</f>
        <v>1423.0974802243</v>
      </c>
    </row>
    <row r="48" spans="1:10">
      <c r="A48" s="154">
        <v>32</v>
      </c>
      <c r="B48" s="155" t="e">
        <f>VLOOKUP(A48,#REF!,2,0)</f>
        <v>#REF!</v>
      </c>
      <c r="C48" s="156">
        <f t="shared" si="5"/>
        <v>0</v>
      </c>
      <c r="D48" s="156">
        <f t="shared" si="7"/>
        <v>3570.51624670405</v>
      </c>
      <c r="E48" s="156">
        <f t="shared" si="1"/>
        <v>0</v>
      </c>
      <c r="F48" s="156">
        <f t="shared" si="2"/>
        <v>0</v>
      </c>
      <c r="G48" s="156">
        <f t="shared" si="3"/>
        <v>0</v>
      </c>
      <c r="H48" s="156">
        <f t="shared" si="6"/>
        <v>0</v>
      </c>
      <c r="I48" s="156">
        <f t="shared" si="4"/>
        <v>0</v>
      </c>
      <c r="J48" s="156">
        <f>SUM($H$17:$H48)</f>
        <v>1423.0974802243</v>
      </c>
    </row>
    <row r="49" spans="1:10">
      <c r="A49" s="154">
        <v>33</v>
      </c>
      <c r="B49" s="155" t="e">
        <f>VLOOKUP(A49,#REF!,2,0)</f>
        <v>#REF!</v>
      </c>
      <c r="C49" s="156">
        <f t="shared" si="5"/>
        <v>0</v>
      </c>
      <c r="D49" s="156">
        <f t="shared" si="7"/>
        <v>3570.51624670405</v>
      </c>
      <c r="E49" s="156">
        <f t="shared" si="1"/>
        <v>0</v>
      </c>
      <c r="F49" s="156">
        <f t="shared" si="2"/>
        <v>0</v>
      </c>
      <c r="G49" s="156">
        <f t="shared" si="3"/>
        <v>0</v>
      </c>
      <c r="H49" s="156">
        <f t="shared" si="6"/>
        <v>0</v>
      </c>
      <c r="I49" s="156">
        <f t="shared" si="4"/>
        <v>0</v>
      </c>
      <c r="J49" s="156">
        <f>SUM($H$17:$H49)</f>
        <v>1423.0974802243</v>
      </c>
    </row>
    <row r="50" spans="1:10">
      <c r="A50" s="154">
        <v>34</v>
      </c>
      <c r="B50" s="155" t="e">
        <f>VLOOKUP(A50,#REF!,2,0)</f>
        <v>#REF!</v>
      </c>
      <c r="C50" s="156">
        <f t="shared" si="5"/>
        <v>0</v>
      </c>
      <c r="D50" s="156">
        <f t="shared" si="7"/>
        <v>3570.51624670405</v>
      </c>
      <c r="E50" s="156">
        <f t="shared" si="1"/>
        <v>0</v>
      </c>
      <c r="F50" s="156">
        <f t="shared" si="2"/>
        <v>0</v>
      </c>
      <c r="G50" s="156">
        <f t="shared" si="3"/>
        <v>0</v>
      </c>
      <c r="H50" s="156">
        <f t="shared" si="6"/>
        <v>0</v>
      </c>
      <c r="I50" s="156">
        <f t="shared" si="4"/>
        <v>0</v>
      </c>
      <c r="J50" s="156">
        <f>SUM($H$17:$H50)</f>
        <v>1423.0974802243</v>
      </c>
    </row>
    <row r="51" spans="1:10">
      <c r="A51" s="154">
        <v>35</v>
      </c>
      <c r="B51" s="155" t="e">
        <f>VLOOKUP(A51,#REF!,2,0)</f>
        <v>#REF!</v>
      </c>
      <c r="C51" s="156">
        <f t="shared" si="5"/>
        <v>0</v>
      </c>
      <c r="D51" s="156">
        <f t="shared" si="7"/>
        <v>3570.51624670405</v>
      </c>
      <c r="E51" s="156">
        <f t="shared" si="1"/>
        <v>0</v>
      </c>
      <c r="F51" s="156">
        <f t="shared" si="2"/>
        <v>0</v>
      </c>
      <c r="G51" s="156">
        <f t="shared" si="3"/>
        <v>0</v>
      </c>
      <c r="H51" s="156">
        <f t="shared" si="6"/>
        <v>0</v>
      </c>
      <c r="I51" s="156">
        <f t="shared" si="4"/>
        <v>0</v>
      </c>
      <c r="J51" s="156">
        <f>SUM($H$17:$H51)</f>
        <v>1423.0974802243</v>
      </c>
    </row>
    <row r="52" spans="1:10">
      <c r="A52" s="154">
        <v>36</v>
      </c>
      <c r="B52" s="155" t="e">
        <f>VLOOKUP(A52,#REF!,2,0)</f>
        <v>#REF!</v>
      </c>
      <c r="C52" s="156">
        <f t="shared" si="5"/>
        <v>0</v>
      </c>
      <c r="D52" s="156">
        <f t="shared" si="7"/>
        <v>3570.51624670405</v>
      </c>
      <c r="E52" s="156">
        <f t="shared" si="1"/>
        <v>0</v>
      </c>
      <c r="F52" s="156">
        <f t="shared" si="2"/>
        <v>0</v>
      </c>
      <c r="G52" s="156">
        <f t="shared" si="3"/>
        <v>0</v>
      </c>
      <c r="H52" s="156">
        <f t="shared" si="6"/>
        <v>0</v>
      </c>
      <c r="I52" s="156">
        <f t="shared" si="4"/>
        <v>0</v>
      </c>
      <c r="J52" s="156">
        <f>SUM($H$17:$H52)</f>
        <v>1423.0974802243</v>
      </c>
    </row>
    <row r="53" spans="1:10">
      <c r="A53" s="154">
        <v>37</v>
      </c>
      <c r="B53" s="155" t="e">
        <f>VLOOKUP(A53,#REF!,2,0)</f>
        <v>#REF!</v>
      </c>
      <c r="C53" s="156">
        <f t="shared" si="5"/>
        <v>0</v>
      </c>
      <c r="D53" s="156">
        <f t="shared" si="7"/>
        <v>3570.51624670405</v>
      </c>
      <c r="E53" s="156">
        <f t="shared" si="1"/>
        <v>0</v>
      </c>
      <c r="F53" s="156">
        <f t="shared" si="2"/>
        <v>0</v>
      </c>
      <c r="G53" s="156">
        <f t="shared" si="3"/>
        <v>0</v>
      </c>
      <c r="H53" s="156">
        <f t="shared" si="6"/>
        <v>0</v>
      </c>
      <c r="I53" s="156">
        <f t="shared" si="4"/>
        <v>0</v>
      </c>
      <c r="J53" s="156">
        <f>SUM($H$17:$H53)</f>
        <v>1423.0974802243</v>
      </c>
    </row>
    <row r="54" spans="1:10">
      <c r="A54" s="154">
        <v>38</v>
      </c>
      <c r="B54" s="155" t="e">
        <f>VLOOKUP(A54,#REF!,2,0)</f>
        <v>#REF!</v>
      </c>
      <c r="C54" s="156">
        <f t="shared" si="5"/>
        <v>0</v>
      </c>
      <c r="D54" s="156">
        <f t="shared" si="7"/>
        <v>3570.51624670405</v>
      </c>
      <c r="E54" s="156">
        <f t="shared" si="1"/>
        <v>0</v>
      </c>
      <c r="F54" s="156">
        <f t="shared" si="2"/>
        <v>0</v>
      </c>
      <c r="G54" s="156">
        <f t="shared" si="3"/>
        <v>0</v>
      </c>
      <c r="H54" s="156">
        <f t="shared" si="6"/>
        <v>0</v>
      </c>
      <c r="I54" s="156">
        <f t="shared" si="4"/>
        <v>0</v>
      </c>
      <c r="J54" s="156">
        <f>SUM($H$17:$H54)</f>
        <v>1423.0974802243</v>
      </c>
    </row>
    <row r="55" spans="1:10">
      <c r="A55" s="154">
        <v>39</v>
      </c>
      <c r="B55" s="155" t="e">
        <f>VLOOKUP(A55,#REF!,2,0)</f>
        <v>#REF!</v>
      </c>
      <c r="C55" s="156">
        <f t="shared" si="5"/>
        <v>0</v>
      </c>
      <c r="D55" s="156">
        <f t="shared" si="7"/>
        <v>3570.51624670405</v>
      </c>
      <c r="E55" s="156">
        <f t="shared" si="1"/>
        <v>0</v>
      </c>
      <c r="F55" s="156">
        <f t="shared" si="2"/>
        <v>0</v>
      </c>
      <c r="G55" s="156">
        <f t="shared" si="3"/>
        <v>0</v>
      </c>
      <c r="H55" s="156">
        <f t="shared" si="6"/>
        <v>0</v>
      </c>
      <c r="I55" s="156">
        <f t="shared" si="4"/>
        <v>0</v>
      </c>
      <c r="J55" s="156">
        <f>SUM($H$17:$H55)</f>
        <v>1423.0974802243</v>
      </c>
    </row>
    <row r="56" spans="1:10">
      <c r="A56" s="154">
        <v>40</v>
      </c>
      <c r="B56" s="155" t="e">
        <f>VLOOKUP(A56,#REF!,2,0)</f>
        <v>#REF!</v>
      </c>
      <c r="C56" s="156">
        <f t="shared" si="5"/>
        <v>0</v>
      </c>
      <c r="D56" s="156">
        <f t="shared" si="7"/>
        <v>3570.51624670405</v>
      </c>
      <c r="E56" s="156">
        <f t="shared" si="1"/>
        <v>0</v>
      </c>
      <c r="F56" s="156">
        <f t="shared" si="2"/>
        <v>0</v>
      </c>
      <c r="G56" s="156">
        <f t="shared" si="3"/>
        <v>0</v>
      </c>
      <c r="H56" s="156">
        <f t="shared" si="6"/>
        <v>0</v>
      </c>
      <c r="I56" s="156">
        <f t="shared" si="4"/>
        <v>0</v>
      </c>
      <c r="J56" s="156">
        <f>SUM($H$17:$H56)</f>
        <v>1423.0974802243</v>
      </c>
    </row>
    <row r="57" spans="1:10">
      <c r="A57" s="154">
        <v>41</v>
      </c>
      <c r="B57" s="155" t="e">
        <f>VLOOKUP(A57,#REF!,2,0)</f>
        <v>#REF!</v>
      </c>
      <c r="C57" s="156">
        <f t="shared" si="5"/>
        <v>0</v>
      </c>
      <c r="D57" s="156">
        <f t="shared" si="7"/>
        <v>3570.51624670405</v>
      </c>
      <c r="E57" s="156">
        <f t="shared" si="1"/>
        <v>0</v>
      </c>
      <c r="F57" s="156">
        <f t="shared" si="2"/>
        <v>0</v>
      </c>
      <c r="G57" s="156">
        <f t="shared" si="3"/>
        <v>0</v>
      </c>
      <c r="H57" s="156">
        <f t="shared" si="6"/>
        <v>0</v>
      </c>
      <c r="I57" s="156">
        <f t="shared" si="4"/>
        <v>0</v>
      </c>
      <c r="J57" s="156">
        <f>SUM($H$17:$H57)</f>
        <v>1423.0974802243</v>
      </c>
    </row>
    <row r="58" spans="1:10">
      <c r="A58" s="154">
        <v>42</v>
      </c>
      <c r="B58" s="155" t="e">
        <f>VLOOKUP(A58,#REF!,2,0)</f>
        <v>#REF!</v>
      </c>
      <c r="C58" s="156">
        <f t="shared" si="5"/>
        <v>0</v>
      </c>
      <c r="D58" s="156">
        <f t="shared" si="7"/>
        <v>3570.51624670405</v>
      </c>
      <c r="E58" s="156">
        <f t="shared" si="1"/>
        <v>0</v>
      </c>
      <c r="F58" s="156">
        <f t="shared" si="2"/>
        <v>0</v>
      </c>
      <c r="G58" s="156">
        <f t="shared" si="3"/>
        <v>0</v>
      </c>
      <c r="H58" s="156">
        <f t="shared" si="6"/>
        <v>0</v>
      </c>
      <c r="I58" s="156">
        <f t="shared" si="4"/>
        <v>0</v>
      </c>
      <c r="J58" s="156">
        <f>SUM($H$17:$H58)</f>
        <v>1423.0974802243</v>
      </c>
    </row>
    <row r="59" spans="1:10">
      <c r="A59" s="154">
        <v>43</v>
      </c>
      <c r="B59" s="155" t="e">
        <f>VLOOKUP(A59,#REF!,2,0)</f>
        <v>#REF!</v>
      </c>
      <c r="C59" s="156">
        <f t="shared" si="5"/>
        <v>0</v>
      </c>
      <c r="D59" s="156">
        <f t="shared" si="7"/>
        <v>3570.51624670405</v>
      </c>
      <c r="E59" s="156">
        <f t="shared" si="1"/>
        <v>0</v>
      </c>
      <c r="F59" s="156">
        <f t="shared" si="2"/>
        <v>0</v>
      </c>
      <c r="G59" s="156">
        <f t="shared" si="3"/>
        <v>0</v>
      </c>
      <c r="H59" s="156">
        <f t="shared" si="6"/>
        <v>0</v>
      </c>
      <c r="I59" s="156">
        <f t="shared" si="4"/>
        <v>0</v>
      </c>
      <c r="J59" s="156">
        <f>SUM($H$17:$H59)</f>
        <v>1423.0974802243</v>
      </c>
    </row>
    <row r="60" spans="1:10">
      <c r="A60" s="154">
        <v>44</v>
      </c>
      <c r="B60" s="155" t="e">
        <f>VLOOKUP(A60,#REF!,2,0)</f>
        <v>#REF!</v>
      </c>
      <c r="C60" s="156">
        <f t="shared" si="5"/>
        <v>0</v>
      </c>
      <c r="D60" s="156">
        <f t="shared" si="7"/>
        <v>3570.51624670405</v>
      </c>
      <c r="E60" s="156">
        <f t="shared" si="1"/>
        <v>0</v>
      </c>
      <c r="F60" s="156">
        <f t="shared" si="2"/>
        <v>0</v>
      </c>
      <c r="G60" s="156">
        <f t="shared" si="3"/>
        <v>0</v>
      </c>
      <c r="H60" s="156">
        <f t="shared" si="6"/>
        <v>0</v>
      </c>
      <c r="I60" s="156">
        <f t="shared" si="4"/>
        <v>0</v>
      </c>
      <c r="J60" s="156">
        <f>SUM($H$17:$H60)</f>
        <v>1423.0974802243</v>
      </c>
    </row>
    <row r="61" spans="1:10">
      <c r="A61" s="154">
        <v>45</v>
      </c>
      <c r="B61" s="155" t="e">
        <f>VLOOKUP(A61,#REF!,2,0)</f>
        <v>#REF!</v>
      </c>
      <c r="C61" s="156">
        <f t="shared" si="5"/>
        <v>0</v>
      </c>
      <c r="D61" s="156">
        <f t="shared" si="7"/>
        <v>3570.51624670405</v>
      </c>
      <c r="E61" s="156">
        <f t="shared" si="1"/>
        <v>0</v>
      </c>
      <c r="F61" s="156">
        <f t="shared" si="2"/>
        <v>0</v>
      </c>
      <c r="G61" s="156">
        <f t="shared" si="3"/>
        <v>0</v>
      </c>
      <c r="H61" s="156">
        <f t="shared" si="6"/>
        <v>0</v>
      </c>
      <c r="I61" s="156">
        <f t="shared" si="4"/>
        <v>0</v>
      </c>
      <c r="J61" s="156">
        <f>SUM($H$17:$H61)</f>
        <v>1423.0974802243</v>
      </c>
    </row>
    <row r="62" spans="1:10">
      <c r="A62" s="154">
        <v>46</v>
      </c>
      <c r="B62" s="155" t="e">
        <f>VLOOKUP(A62,#REF!,2,0)</f>
        <v>#REF!</v>
      </c>
      <c r="C62" s="156">
        <f t="shared" si="5"/>
        <v>0</v>
      </c>
      <c r="D62" s="156">
        <f t="shared" si="7"/>
        <v>3570.51624670405</v>
      </c>
      <c r="E62" s="156">
        <f t="shared" si="1"/>
        <v>0</v>
      </c>
      <c r="F62" s="156">
        <f t="shared" si="2"/>
        <v>0</v>
      </c>
      <c r="G62" s="156">
        <f t="shared" si="3"/>
        <v>0</v>
      </c>
      <c r="H62" s="156">
        <f t="shared" si="6"/>
        <v>0</v>
      </c>
      <c r="I62" s="156">
        <f t="shared" si="4"/>
        <v>0</v>
      </c>
      <c r="J62" s="156">
        <f>SUM($H$17:$H62)</f>
        <v>1423.0974802243</v>
      </c>
    </row>
    <row r="63" spans="1:10">
      <c r="A63" s="154">
        <v>47</v>
      </c>
      <c r="B63" s="155" t="e">
        <f>VLOOKUP(A63,#REF!,2,0)</f>
        <v>#REF!</v>
      </c>
      <c r="C63" s="156">
        <f t="shared" si="5"/>
        <v>0</v>
      </c>
      <c r="D63" s="156">
        <f t="shared" si="7"/>
        <v>3570.51624670405</v>
      </c>
      <c r="E63" s="156">
        <f t="shared" si="1"/>
        <v>0</v>
      </c>
      <c r="F63" s="156">
        <f t="shared" si="2"/>
        <v>0</v>
      </c>
      <c r="G63" s="156">
        <f t="shared" si="3"/>
        <v>0</v>
      </c>
      <c r="H63" s="156">
        <f t="shared" si="6"/>
        <v>0</v>
      </c>
      <c r="I63" s="156">
        <f t="shared" si="4"/>
        <v>0</v>
      </c>
      <c r="J63" s="156">
        <f>SUM($H$17:$H63)</f>
        <v>1423.0974802243</v>
      </c>
    </row>
    <row r="64" spans="1:10">
      <c r="A64" s="154">
        <v>48</v>
      </c>
      <c r="B64" s="155" t="e">
        <f>VLOOKUP(A64,#REF!,2,0)</f>
        <v>#REF!</v>
      </c>
      <c r="C64" s="156">
        <f t="shared" si="5"/>
        <v>0</v>
      </c>
      <c r="D64" s="156">
        <f t="shared" si="7"/>
        <v>3570.51624670405</v>
      </c>
      <c r="E64" s="156">
        <f t="shared" si="1"/>
        <v>0</v>
      </c>
      <c r="F64" s="156">
        <f t="shared" si="2"/>
        <v>0</v>
      </c>
      <c r="G64" s="156">
        <f t="shared" si="3"/>
        <v>0</v>
      </c>
      <c r="H64" s="156">
        <f t="shared" si="6"/>
        <v>0</v>
      </c>
      <c r="I64" s="156">
        <f t="shared" si="4"/>
        <v>0</v>
      </c>
      <c r="J64" s="156">
        <f>SUM($H$17:$H64)</f>
        <v>1423.0974802243</v>
      </c>
    </row>
    <row r="65" spans="1:10">
      <c r="A65" s="154"/>
      <c r="B65" s="155"/>
      <c r="C65" s="156"/>
      <c r="D65" s="156"/>
      <c r="E65" s="156"/>
      <c r="F65" s="156"/>
      <c r="G65" s="156"/>
      <c r="H65" s="156"/>
      <c r="I65" s="156"/>
      <c r="J65" s="156"/>
    </row>
    <row r="66" hidden="1" spans="1:10">
      <c r="A66" s="154">
        <v>49</v>
      </c>
      <c r="B66" s="155">
        <f ca="1" t="shared" ref="B66:B81" si="8">IF(Pay_Num&lt;&gt;"",DATE(YEAR(Loan_Start),MONTH(Loan_Start)+(Pay_Num)*12/Num_Pmt_Per_Year,DAY(Loan_Start)),"")</f>
        <v>49249</v>
      </c>
      <c r="C66" s="156">
        <f>IF(Pay_Num&lt;&gt;"",I64,"")</f>
        <v>0</v>
      </c>
      <c r="D66" s="156">
        <f t="shared" si="7"/>
        <v>3570.51624670405</v>
      </c>
      <c r="E66" s="156">
        <f t="shared" si="1"/>
        <v>0</v>
      </c>
      <c r="F66" s="156">
        <f t="shared" si="2"/>
        <v>0</v>
      </c>
      <c r="G66" s="156">
        <f t="shared" si="3"/>
        <v>0</v>
      </c>
      <c r="H66" s="156">
        <f t="shared" si="6"/>
        <v>0</v>
      </c>
      <c r="I66" s="156">
        <f t="shared" si="4"/>
        <v>0</v>
      </c>
      <c r="J66" s="156">
        <f>SUM($H$17:$H66)</f>
        <v>1423.0974802243</v>
      </c>
    </row>
    <row r="67" hidden="1" spans="1:10">
      <c r="A67" s="154">
        <v>50</v>
      </c>
      <c r="B67" s="155">
        <f ca="1" t="shared" si="8"/>
        <v>49310</v>
      </c>
      <c r="C67" s="156">
        <f t="shared" si="5"/>
        <v>0</v>
      </c>
      <c r="D67" s="156">
        <f t="shared" si="7"/>
        <v>3570.51624670405</v>
      </c>
      <c r="E67" s="156">
        <f t="shared" si="1"/>
        <v>0</v>
      </c>
      <c r="F67" s="156">
        <f t="shared" si="2"/>
        <v>0</v>
      </c>
      <c r="G67" s="156">
        <f t="shared" si="3"/>
        <v>0</v>
      </c>
      <c r="H67" s="156">
        <f t="shared" si="6"/>
        <v>0</v>
      </c>
      <c r="I67" s="156">
        <f t="shared" si="4"/>
        <v>0</v>
      </c>
      <c r="J67" s="156">
        <f>SUM($H$17:$H67)</f>
        <v>1423.0974802243</v>
      </c>
    </row>
    <row r="68" hidden="1" spans="1:10">
      <c r="A68" s="154">
        <v>51</v>
      </c>
      <c r="B68" s="155">
        <f ca="1" t="shared" si="8"/>
        <v>49369</v>
      </c>
      <c r="C68" s="156">
        <f t="shared" si="5"/>
        <v>0</v>
      </c>
      <c r="D68" s="156">
        <f t="shared" si="7"/>
        <v>3570.51624670405</v>
      </c>
      <c r="E68" s="156">
        <f t="shared" si="1"/>
        <v>0</v>
      </c>
      <c r="F68" s="156">
        <f t="shared" si="2"/>
        <v>0</v>
      </c>
      <c r="G68" s="156">
        <f t="shared" si="3"/>
        <v>0</v>
      </c>
      <c r="H68" s="156">
        <f t="shared" si="6"/>
        <v>0</v>
      </c>
      <c r="I68" s="156">
        <f t="shared" si="4"/>
        <v>0</v>
      </c>
      <c r="J68" s="156">
        <f>SUM($H$17:$H68)</f>
        <v>1423.0974802243</v>
      </c>
    </row>
    <row r="69" hidden="1" spans="1:10">
      <c r="A69" s="154">
        <v>52</v>
      </c>
      <c r="B69" s="155">
        <f ca="1" t="shared" si="8"/>
        <v>49430</v>
      </c>
      <c r="C69" s="156">
        <f t="shared" si="5"/>
        <v>0</v>
      </c>
      <c r="D69" s="156">
        <f t="shared" si="7"/>
        <v>3570.51624670405</v>
      </c>
      <c r="E69" s="156">
        <f t="shared" si="1"/>
        <v>0</v>
      </c>
      <c r="F69" s="156">
        <f t="shared" si="2"/>
        <v>0</v>
      </c>
      <c r="G69" s="156">
        <f t="shared" si="3"/>
        <v>0</v>
      </c>
      <c r="H69" s="156">
        <f t="shared" si="6"/>
        <v>0</v>
      </c>
      <c r="I69" s="156">
        <f t="shared" si="4"/>
        <v>0</v>
      </c>
      <c r="J69" s="156">
        <f>SUM($H$17:$H69)</f>
        <v>1423.0974802243</v>
      </c>
    </row>
    <row r="70" hidden="1" spans="1:10">
      <c r="A70" s="154">
        <v>53</v>
      </c>
      <c r="B70" s="155">
        <f ca="1" t="shared" si="8"/>
        <v>49491</v>
      </c>
      <c r="C70" s="156">
        <f t="shared" si="5"/>
        <v>0</v>
      </c>
      <c r="D70" s="156">
        <f t="shared" si="7"/>
        <v>3570.51624670405</v>
      </c>
      <c r="E70" s="156">
        <f t="shared" si="1"/>
        <v>0</v>
      </c>
      <c r="F70" s="156">
        <f t="shared" si="2"/>
        <v>0</v>
      </c>
      <c r="G70" s="156">
        <f t="shared" si="3"/>
        <v>0</v>
      </c>
      <c r="H70" s="156">
        <f t="shared" si="6"/>
        <v>0</v>
      </c>
      <c r="I70" s="156">
        <f t="shared" si="4"/>
        <v>0</v>
      </c>
      <c r="J70" s="156">
        <f>SUM($H$17:$H70)</f>
        <v>1423.0974802243</v>
      </c>
    </row>
    <row r="71" hidden="1" spans="1:10">
      <c r="A71" s="154">
        <v>54</v>
      </c>
      <c r="B71" s="155">
        <f ca="1" t="shared" si="8"/>
        <v>49553</v>
      </c>
      <c r="C71" s="156">
        <f t="shared" si="5"/>
        <v>0</v>
      </c>
      <c r="D71" s="156">
        <f t="shared" si="7"/>
        <v>3570.51624670405</v>
      </c>
      <c r="E71" s="156">
        <f t="shared" si="1"/>
        <v>0</v>
      </c>
      <c r="F71" s="156">
        <f t="shared" si="2"/>
        <v>0</v>
      </c>
      <c r="G71" s="156">
        <f t="shared" si="3"/>
        <v>0</v>
      </c>
      <c r="H71" s="156">
        <f t="shared" si="6"/>
        <v>0</v>
      </c>
      <c r="I71" s="156">
        <f t="shared" si="4"/>
        <v>0</v>
      </c>
      <c r="J71" s="156">
        <f>SUM($H$17:$H71)</f>
        <v>1423.0974802243</v>
      </c>
    </row>
    <row r="72" hidden="1" spans="1:10">
      <c r="A72" s="154">
        <v>55</v>
      </c>
      <c r="B72" s="155">
        <f ca="1" t="shared" si="8"/>
        <v>49614</v>
      </c>
      <c r="C72" s="156">
        <f t="shared" si="5"/>
        <v>0</v>
      </c>
      <c r="D72" s="156">
        <f t="shared" si="7"/>
        <v>3570.51624670405</v>
      </c>
      <c r="E72" s="156">
        <f t="shared" si="1"/>
        <v>0</v>
      </c>
      <c r="F72" s="156">
        <f t="shared" si="2"/>
        <v>0</v>
      </c>
      <c r="G72" s="156">
        <f t="shared" si="3"/>
        <v>0</v>
      </c>
      <c r="H72" s="156">
        <f t="shared" si="6"/>
        <v>0</v>
      </c>
      <c r="I72" s="156">
        <f t="shared" si="4"/>
        <v>0</v>
      </c>
      <c r="J72" s="156">
        <f>SUM($H$17:$H72)</f>
        <v>1423.0974802243</v>
      </c>
    </row>
    <row r="73" hidden="1" spans="1:10">
      <c r="A73" s="154">
        <v>56</v>
      </c>
      <c r="B73" s="155">
        <f ca="1" t="shared" si="8"/>
        <v>49675</v>
      </c>
      <c r="C73" s="156">
        <f t="shared" si="5"/>
        <v>0</v>
      </c>
      <c r="D73" s="156">
        <f t="shared" si="7"/>
        <v>3570.51624670405</v>
      </c>
      <c r="E73" s="156">
        <f t="shared" si="1"/>
        <v>0</v>
      </c>
      <c r="F73" s="156">
        <f t="shared" si="2"/>
        <v>0</v>
      </c>
      <c r="G73" s="156">
        <f t="shared" si="3"/>
        <v>0</v>
      </c>
      <c r="H73" s="156">
        <f t="shared" si="6"/>
        <v>0</v>
      </c>
      <c r="I73" s="156">
        <f t="shared" si="4"/>
        <v>0</v>
      </c>
      <c r="J73" s="156">
        <f>SUM($H$17:$H73)</f>
        <v>1423.0974802243</v>
      </c>
    </row>
    <row r="74" hidden="1" spans="1:10">
      <c r="A74" s="154">
        <v>57</v>
      </c>
      <c r="B74" s="155">
        <f ca="1" t="shared" si="8"/>
        <v>49735</v>
      </c>
      <c r="C74" s="156">
        <f t="shared" si="5"/>
        <v>0</v>
      </c>
      <c r="D74" s="156">
        <f t="shared" si="7"/>
        <v>3570.51624670405</v>
      </c>
      <c r="E74" s="156">
        <f t="shared" si="1"/>
        <v>0</v>
      </c>
      <c r="F74" s="156">
        <f t="shared" si="2"/>
        <v>0</v>
      </c>
      <c r="G74" s="156">
        <f t="shared" si="3"/>
        <v>0</v>
      </c>
      <c r="H74" s="156">
        <f t="shared" si="6"/>
        <v>0</v>
      </c>
      <c r="I74" s="156">
        <f t="shared" si="4"/>
        <v>0</v>
      </c>
      <c r="J74" s="156">
        <f>SUM($H$17:$H74)</f>
        <v>1423.0974802243</v>
      </c>
    </row>
    <row r="75" hidden="1" spans="1:10">
      <c r="A75" s="154">
        <v>58</v>
      </c>
      <c r="B75" s="155">
        <f ca="1" t="shared" si="8"/>
        <v>49796</v>
      </c>
      <c r="C75" s="156">
        <f t="shared" si="5"/>
        <v>0</v>
      </c>
      <c r="D75" s="156">
        <f t="shared" si="7"/>
        <v>3570.51624670405</v>
      </c>
      <c r="E75" s="156">
        <f t="shared" si="1"/>
        <v>0</v>
      </c>
      <c r="F75" s="156">
        <f t="shared" si="2"/>
        <v>0</v>
      </c>
      <c r="G75" s="156">
        <f t="shared" si="3"/>
        <v>0</v>
      </c>
      <c r="H75" s="156">
        <f t="shared" si="6"/>
        <v>0</v>
      </c>
      <c r="I75" s="156">
        <f t="shared" si="4"/>
        <v>0</v>
      </c>
      <c r="J75" s="156">
        <f>SUM($H$17:$H75)</f>
        <v>1423.0974802243</v>
      </c>
    </row>
    <row r="76" hidden="1" spans="1:10">
      <c r="A76" s="154">
        <v>59</v>
      </c>
      <c r="B76" s="155">
        <f ca="1" t="shared" si="8"/>
        <v>49857</v>
      </c>
      <c r="C76" s="156">
        <f t="shared" si="5"/>
        <v>0</v>
      </c>
      <c r="D76" s="156">
        <f t="shared" si="7"/>
        <v>3570.51624670405</v>
      </c>
      <c r="E76" s="156">
        <f t="shared" si="1"/>
        <v>0</v>
      </c>
      <c r="F76" s="156">
        <f t="shared" si="2"/>
        <v>0</v>
      </c>
      <c r="G76" s="156">
        <f t="shared" si="3"/>
        <v>0</v>
      </c>
      <c r="H76" s="156">
        <f t="shared" si="6"/>
        <v>0</v>
      </c>
      <c r="I76" s="156">
        <f t="shared" si="4"/>
        <v>0</v>
      </c>
      <c r="J76" s="156">
        <f>SUM($H$17:$H76)</f>
        <v>1423.0974802243</v>
      </c>
    </row>
    <row r="77" hidden="1" spans="1:10">
      <c r="A77" s="154">
        <v>60</v>
      </c>
      <c r="B77" s="155">
        <f ca="1" t="shared" si="8"/>
        <v>49919</v>
      </c>
      <c r="C77" s="156">
        <f t="shared" si="5"/>
        <v>0</v>
      </c>
      <c r="D77" s="156">
        <f t="shared" si="7"/>
        <v>3570.51624670405</v>
      </c>
      <c r="E77" s="156">
        <f t="shared" si="1"/>
        <v>0</v>
      </c>
      <c r="F77" s="156">
        <f t="shared" si="2"/>
        <v>0</v>
      </c>
      <c r="G77" s="156">
        <f t="shared" si="3"/>
        <v>0</v>
      </c>
      <c r="H77" s="156">
        <f t="shared" si="6"/>
        <v>0</v>
      </c>
      <c r="I77" s="156">
        <f t="shared" si="4"/>
        <v>0</v>
      </c>
      <c r="J77" s="156">
        <f>SUM($H$17:$H77)</f>
        <v>1423.0974802243</v>
      </c>
    </row>
    <row r="78" hidden="1" spans="1:10">
      <c r="A78" s="154">
        <v>61</v>
      </c>
      <c r="B78" s="155">
        <f ca="1" t="shared" si="8"/>
        <v>49980</v>
      </c>
      <c r="C78" s="156">
        <f t="shared" si="5"/>
        <v>0</v>
      </c>
      <c r="D78" s="156">
        <f t="shared" si="7"/>
        <v>3570.51624670405</v>
      </c>
      <c r="E78" s="156">
        <f t="shared" si="1"/>
        <v>0</v>
      </c>
      <c r="F78" s="156">
        <f t="shared" si="2"/>
        <v>0</v>
      </c>
      <c r="G78" s="156">
        <f t="shared" si="3"/>
        <v>0</v>
      </c>
      <c r="H78" s="156">
        <f t="shared" si="6"/>
        <v>0</v>
      </c>
      <c r="I78" s="156">
        <f t="shared" si="4"/>
        <v>0</v>
      </c>
      <c r="J78" s="156">
        <f>SUM($H$17:$H78)</f>
        <v>1423.0974802243</v>
      </c>
    </row>
    <row r="79" hidden="1" spans="1:10">
      <c r="A79" s="154">
        <v>62</v>
      </c>
      <c r="B79" s="155">
        <f ca="1" t="shared" si="8"/>
        <v>50041</v>
      </c>
      <c r="C79" s="156">
        <f t="shared" si="5"/>
        <v>0</v>
      </c>
      <c r="D79" s="156">
        <f t="shared" si="7"/>
        <v>3570.51624670405</v>
      </c>
      <c r="E79" s="156">
        <f t="shared" si="1"/>
        <v>0</v>
      </c>
      <c r="F79" s="156">
        <f t="shared" si="2"/>
        <v>0</v>
      </c>
      <c r="G79" s="156">
        <f t="shared" si="3"/>
        <v>0</v>
      </c>
      <c r="H79" s="156">
        <f t="shared" si="6"/>
        <v>0</v>
      </c>
      <c r="I79" s="156">
        <f t="shared" si="4"/>
        <v>0</v>
      </c>
      <c r="J79" s="156">
        <f>SUM($H$17:$H79)</f>
        <v>1423.0974802243</v>
      </c>
    </row>
    <row r="80" hidden="1" spans="1:10">
      <c r="A80" s="154">
        <v>63</v>
      </c>
      <c r="B80" s="155">
        <f ca="1" t="shared" si="8"/>
        <v>50100</v>
      </c>
      <c r="C80" s="156">
        <f t="shared" si="5"/>
        <v>0</v>
      </c>
      <c r="D80" s="156">
        <f t="shared" si="7"/>
        <v>3570.51624670405</v>
      </c>
      <c r="E80" s="156">
        <f t="shared" si="1"/>
        <v>0</v>
      </c>
      <c r="F80" s="156">
        <f t="shared" si="2"/>
        <v>0</v>
      </c>
      <c r="G80" s="156">
        <f t="shared" si="3"/>
        <v>0</v>
      </c>
      <c r="H80" s="156">
        <f t="shared" si="6"/>
        <v>0</v>
      </c>
      <c r="I80" s="156">
        <f t="shared" si="4"/>
        <v>0</v>
      </c>
      <c r="J80" s="156">
        <f>SUM($H$17:$H80)</f>
        <v>1423.0974802243</v>
      </c>
    </row>
    <row r="81" hidden="1" spans="1:10">
      <c r="A81" s="154">
        <v>64</v>
      </c>
      <c r="B81" s="155">
        <f ca="1" t="shared" si="8"/>
        <v>50161</v>
      </c>
      <c r="C81" s="156">
        <f t="shared" si="5"/>
        <v>0</v>
      </c>
      <c r="D81" s="156">
        <f t="shared" si="7"/>
        <v>3570.51624670405</v>
      </c>
      <c r="E81" s="156">
        <f t="shared" si="1"/>
        <v>0</v>
      </c>
      <c r="F81" s="156">
        <f t="shared" si="2"/>
        <v>0</v>
      </c>
      <c r="G81" s="156">
        <f t="shared" si="3"/>
        <v>0</v>
      </c>
      <c r="H81" s="156">
        <f t="shared" si="6"/>
        <v>0</v>
      </c>
      <c r="I81" s="156">
        <f t="shared" si="4"/>
        <v>0</v>
      </c>
      <c r="J81" s="156">
        <f>SUM($H$17:$H81)</f>
        <v>1423.0974802243</v>
      </c>
    </row>
    <row r="82" hidden="1" spans="1:10">
      <c r="A82" s="154">
        <v>65</v>
      </c>
      <c r="B82" s="155">
        <f ca="1" t="shared" ref="B82:B145" si="9">IF(Pay_Num&lt;&gt;"",DATE(YEAR(Loan_Start),MONTH(Loan_Start)+(Pay_Num)*12/Num_Pmt_Per_Year,DAY(Loan_Start)),"")</f>
        <v>50222</v>
      </c>
      <c r="C82" s="156">
        <f t="shared" si="5"/>
        <v>0</v>
      </c>
      <c r="D82" s="156">
        <f t="shared" si="7"/>
        <v>3570.51624670405</v>
      </c>
      <c r="E82" s="156">
        <f t="shared" ref="E82:E145" si="10">IF(AND(Pay_Num&lt;&gt;"",Sched_Pay+Scheduled_Extra_Payments&lt;Beg_Bal),Scheduled_Extra_Payments,IF(AND(Pay_Num&lt;&gt;"",Beg_Bal-Sched_Pay&gt;0),Beg_Bal-Sched_Pay,IF(Pay_Num&lt;&gt;"",0,"")))</f>
        <v>0</v>
      </c>
      <c r="F82" s="156">
        <f t="shared" ref="F82:F145" si="11">IF(AND(Pay_Num&lt;&gt;"",Sched_Pay+Extra_Pay&lt;Beg_Bal),Sched_Pay+Extra_Pay,IF(Pay_Num&lt;&gt;"",Beg_Bal,""))</f>
        <v>0</v>
      </c>
      <c r="G82" s="156">
        <f t="shared" si="3"/>
        <v>0</v>
      </c>
      <c r="H82" s="156">
        <f t="shared" si="6"/>
        <v>0</v>
      </c>
      <c r="I82" s="156">
        <f t="shared" ref="I82:I145" si="12">IF(AND(Pay_Num&lt;&gt;"",Sched_Pay+Extra_Pay&lt;Beg_Bal),Beg_Bal-Princ,IF(Pay_Num&lt;&gt;"",0,""))</f>
        <v>0</v>
      </c>
      <c r="J82" s="156">
        <f>SUM($H$17:$H82)</f>
        <v>1423.0974802243</v>
      </c>
    </row>
    <row r="83" hidden="1" spans="1:10">
      <c r="A83" s="154">
        <v>66</v>
      </c>
      <c r="B83" s="155">
        <f ca="1" t="shared" si="9"/>
        <v>50284</v>
      </c>
      <c r="C83" s="156">
        <f t="shared" ref="C83:C146" si="13">IF(Pay_Num&lt;&gt;"",I82,"")</f>
        <v>0</v>
      </c>
      <c r="D83" s="156">
        <f t="shared" si="7"/>
        <v>3570.51624670405</v>
      </c>
      <c r="E83" s="156">
        <f t="shared" si="10"/>
        <v>0</v>
      </c>
      <c r="F83" s="156">
        <f t="shared" si="11"/>
        <v>0</v>
      </c>
      <c r="G83" s="156">
        <f t="shared" ref="G83:G146" si="14">IF(Pay_Num&lt;&gt;"",Total_Pay-Int,"")</f>
        <v>0</v>
      </c>
      <c r="H83" s="156">
        <f t="shared" ref="H83:H146" si="15">IF(Pay_Num&lt;&gt;"",Beg_Bal*Interest_Rate/Num_Pmt_Per_Year,"")</f>
        <v>0</v>
      </c>
      <c r="I83" s="156">
        <f t="shared" si="12"/>
        <v>0</v>
      </c>
      <c r="J83" s="156">
        <f>SUM($H$17:$H83)</f>
        <v>1423.0974802243</v>
      </c>
    </row>
    <row r="84" hidden="1" spans="1:10">
      <c r="A84" s="154">
        <v>67</v>
      </c>
      <c r="B84" s="155">
        <f ca="1" t="shared" si="9"/>
        <v>50345</v>
      </c>
      <c r="C84" s="156">
        <f t="shared" si="13"/>
        <v>0</v>
      </c>
      <c r="D84" s="156">
        <f t="shared" ref="D84:D147" si="16">IF(Pay_Num&lt;&gt;"",Scheduled_Monthly_Payment,"")</f>
        <v>3570.51624670405</v>
      </c>
      <c r="E84" s="156">
        <f t="shared" si="10"/>
        <v>0</v>
      </c>
      <c r="F84" s="156">
        <f t="shared" si="11"/>
        <v>0</v>
      </c>
      <c r="G84" s="156">
        <f t="shared" si="14"/>
        <v>0</v>
      </c>
      <c r="H84" s="156">
        <f t="shared" si="15"/>
        <v>0</v>
      </c>
      <c r="I84" s="156">
        <f t="shared" si="12"/>
        <v>0</v>
      </c>
      <c r="J84" s="156">
        <f>SUM($H$17:$H84)</f>
        <v>1423.0974802243</v>
      </c>
    </row>
    <row r="85" hidden="1" spans="1:10">
      <c r="A85" s="154">
        <v>68</v>
      </c>
      <c r="B85" s="155">
        <f ca="1" t="shared" si="9"/>
        <v>50406</v>
      </c>
      <c r="C85" s="156">
        <f t="shared" si="13"/>
        <v>0</v>
      </c>
      <c r="D85" s="156">
        <f t="shared" si="16"/>
        <v>3570.51624670405</v>
      </c>
      <c r="E85" s="156">
        <f t="shared" si="10"/>
        <v>0</v>
      </c>
      <c r="F85" s="156">
        <f t="shared" si="11"/>
        <v>0</v>
      </c>
      <c r="G85" s="156">
        <f t="shared" si="14"/>
        <v>0</v>
      </c>
      <c r="H85" s="156">
        <f t="shared" si="15"/>
        <v>0</v>
      </c>
      <c r="I85" s="156">
        <f t="shared" si="12"/>
        <v>0</v>
      </c>
      <c r="J85" s="156">
        <f>SUM($H$17:$H85)</f>
        <v>1423.0974802243</v>
      </c>
    </row>
    <row r="86" hidden="1" spans="1:10">
      <c r="A86" s="154">
        <v>69</v>
      </c>
      <c r="B86" s="155">
        <f ca="1" t="shared" si="9"/>
        <v>50465</v>
      </c>
      <c r="C86" s="156">
        <f t="shared" si="13"/>
        <v>0</v>
      </c>
      <c r="D86" s="156">
        <f t="shared" si="16"/>
        <v>3570.51624670405</v>
      </c>
      <c r="E86" s="156">
        <f t="shared" si="10"/>
        <v>0</v>
      </c>
      <c r="F86" s="156">
        <f t="shared" si="11"/>
        <v>0</v>
      </c>
      <c r="G86" s="156">
        <f t="shared" si="14"/>
        <v>0</v>
      </c>
      <c r="H86" s="156">
        <f t="shared" si="15"/>
        <v>0</v>
      </c>
      <c r="I86" s="156">
        <f t="shared" si="12"/>
        <v>0</v>
      </c>
      <c r="J86" s="156">
        <f>SUM($H$17:$H86)</f>
        <v>1423.0974802243</v>
      </c>
    </row>
    <row r="87" hidden="1" spans="1:10">
      <c r="A87" s="154">
        <v>70</v>
      </c>
      <c r="B87" s="155">
        <f ca="1" t="shared" si="9"/>
        <v>50526</v>
      </c>
      <c r="C87" s="156">
        <f t="shared" si="13"/>
        <v>0</v>
      </c>
      <c r="D87" s="156">
        <f t="shared" si="16"/>
        <v>3570.51624670405</v>
      </c>
      <c r="E87" s="156">
        <f t="shared" si="10"/>
        <v>0</v>
      </c>
      <c r="F87" s="156">
        <f t="shared" si="11"/>
        <v>0</v>
      </c>
      <c r="G87" s="156">
        <f t="shared" si="14"/>
        <v>0</v>
      </c>
      <c r="H87" s="156">
        <f t="shared" si="15"/>
        <v>0</v>
      </c>
      <c r="I87" s="156">
        <f t="shared" si="12"/>
        <v>0</v>
      </c>
      <c r="J87" s="156">
        <f>SUM($H$17:$H87)</f>
        <v>1423.0974802243</v>
      </c>
    </row>
    <row r="88" hidden="1" spans="1:10">
      <c r="A88" s="154">
        <v>71</v>
      </c>
      <c r="B88" s="155">
        <f ca="1" t="shared" si="9"/>
        <v>50587</v>
      </c>
      <c r="C88" s="156">
        <f t="shared" si="13"/>
        <v>0</v>
      </c>
      <c r="D88" s="156">
        <f t="shared" si="16"/>
        <v>3570.51624670405</v>
      </c>
      <c r="E88" s="156">
        <f t="shared" si="10"/>
        <v>0</v>
      </c>
      <c r="F88" s="156">
        <f t="shared" si="11"/>
        <v>0</v>
      </c>
      <c r="G88" s="156">
        <f t="shared" si="14"/>
        <v>0</v>
      </c>
      <c r="H88" s="156">
        <f t="shared" si="15"/>
        <v>0</v>
      </c>
      <c r="I88" s="156">
        <f t="shared" si="12"/>
        <v>0</v>
      </c>
      <c r="J88" s="156">
        <f>SUM($H$17:$H88)</f>
        <v>1423.0974802243</v>
      </c>
    </row>
    <row r="89" hidden="1" spans="1:10">
      <c r="A89" s="154">
        <v>72</v>
      </c>
      <c r="B89" s="155">
        <f ca="1" t="shared" si="9"/>
        <v>50649</v>
      </c>
      <c r="C89" s="156">
        <f t="shared" si="13"/>
        <v>0</v>
      </c>
      <c r="D89" s="156">
        <f t="shared" si="16"/>
        <v>3570.51624670405</v>
      </c>
      <c r="E89" s="156">
        <f t="shared" si="10"/>
        <v>0</v>
      </c>
      <c r="F89" s="156">
        <f t="shared" si="11"/>
        <v>0</v>
      </c>
      <c r="G89" s="156">
        <f t="shared" si="14"/>
        <v>0</v>
      </c>
      <c r="H89" s="156">
        <f t="shared" si="15"/>
        <v>0</v>
      </c>
      <c r="I89" s="156">
        <f t="shared" si="12"/>
        <v>0</v>
      </c>
      <c r="J89" s="156">
        <f>SUM($H$17:$H89)</f>
        <v>1423.0974802243</v>
      </c>
    </row>
    <row r="90" hidden="1" spans="1:10">
      <c r="A90" s="154">
        <v>73</v>
      </c>
      <c r="B90" s="155">
        <f ca="1" t="shared" si="9"/>
        <v>50710</v>
      </c>
      <c r="C90" s="156">
        <f t="shared" si="13"/>
        <v>0</v>
      </c>
      <c r="D90" s="156">
        <f t="shared" si="16"/>
        <v>3570.51624670405</v>
      </c>
      <c r="E90" s="156">
        <f t="shared" si="10"/>
        <v>0</v>
      </c>
      <c r="F90" s="156">
        <f t="shared" si="11"/>
        <v>0</v>
      </c>
      <c r="G90" s="156">
        <f t="shared" si="14"/>
        <v>0</v>
      </c>
      <c r="H90" s="156">
        <f t="shared" si="15"/>
        <v>0</v>
      </c>
      <c r="I90" s="156">
        <f t="shared" si="12"/>
        <v>0</v>
      </c>
      <c r="J90" s="156">
        <f>SUM($H$17:$H90)</f>
        <v>1423.0974802243</v>
      </c>
    </row>
    <row r="91" hidden="1" spans="1:10">
      <c r="A91" s="154">
        <v>74</v>
      </c>
      <c r="B91" s="155">
        <f ca="1" t="shared" si="9"/>
        <v>50771</v>
      </c>
      <c r="C91" s="156">
        <f t="shared" si="13"/>
        <v>0</v>
      </c>
      <c r="D91" s="156">
        <f t="shared" si="16"/>
        <v>3570.51624670405</v>
      </c>
      <c r="E91" s="156">
        <f t="shared" si="10"/>
        <v>0</v>
      </c>
      <c r="F91" s="156">
        <f t="shared" si="11"/>
        <v>0</v>
      </c>
      <c r="G91" s="156">
        <f t="shared" si="14"/>
        <v>0</v>
      </c>
      <c r="H91" s="156">
        <f t="shared" si="15"/>
        <v>0</v>
      </c>
      <c r="I91" s="156">
        <f t="shared" si="12"/>
        <v>0</v>
      </c>
      <c r="J91" s="156">
        <f>SUM($H$17:$H91)</f>
        <v>1423.0974802243</v>
      </c>
    </row>
    <row r="92" hidden="1" spans="1:10">
      <c r="A92" s="154">
        <v>75</v>
      </c>
      <c r="B92" s="155">
        <f ca="1" t="shared" si="9"/>
        <v>50830</v>
      </c>
      <c r="C92" s="156">
        <f t="shared" si="13"/>
        <v>0</v>
      </c>
      <c r="D92" s="156">
        <f t="shared" si="16"/>
        <v>3570.51624670405</v>
      </c>
      <c r="E92" s="156">
        <f t="shared" si="10"/>
        <v>0</v>
      </c>
      <c r="F92" s="156">
        <f t="shared" si="11"/>
        <v>0</v>
      </c>
      <c r="G92" s="156">
        <f t="shared" si="14"/>
        <v>0</v>
      </c>
      <c r="H92" s="156">
        <f t="shared" si="15"/>
        <v>0</v>
      </c>
      <c r="I92" s="156">
        <f t="shared" si="12"/>
        <v>0</v>
      </c>
      <c r="J92" s="156">
        <f>SUM($H$17:$H92)</f>
        <v>1423.0974802243</v>
      </c>
    </row>
    <row r="93" hidden="1" spans="1:10">
      <c r="A93" s="154">
        <v>76</v>
      </c>
      <c r="B93" s="155">
        <f ca="1" t="shared" si="9"/>
        <v>50891</v>
      </c>
      <c r="C93" s="156">
        <f t="shared" si="13"/>
        <v>0</v>
      </c>
      <c r="D93" s="156">
        <f t="shared" si="16"/>
        <v>3570.51624670405</v>
      </c>
      <c r="E93" s="156">
        <f t="shared" si="10"/>
        <v>0</v>
      </c>
      <c r="F93" s="156">
        <f t="shared" si="11"/>
        <v>0</v>
      </c>
      <c r="G93" s="156">
        <f t="shared" si="14"/>
        <v>0</v>
      </c>
      <c r="H93" s="156">
        <f t="shared" si="15"/>
        <v>0</v>
      </c>
      <c r="I93" s="156">
        <f t="shared" si="12"/>
        <v>0</v>
      </c>
      <c r="J93" s="156">
        <f>SUM($H$17:$H93)</f>
        <v>1423.0974802243</v>
      </c>
    </row>
    <row r="94" hidden="1" spans="1:10">
      <c r="A94" s="154">
        <v>77</v>
      </c>
      <c r="B94" s="155">
        <f ca="1" t="shared" si="9"/>
        <v>50952</v>
      </c>
      <c r="C94" s="156">
        <f t="shared" si="13"/>
        <v>0</v>
      </c>
      <c r="D94" s="156">
        <f t="shared" si="16"/>
        <v>3570.51624670405</v>
      </c>
      <c r="E94" s="156">
        <f t="shared" si="10"/>
        <v>0</v>
      </c>
      <c r="F94" s="156">
        <f t="shared" si="11"/>
        <v>0</v>
      </c>
      <c r="G94" s="156">
        <f t="shared" si="14"/>
        <v>0</v>
      </c>
      <c r="H94" s="156">
        <f t="shared" si="15"/>
        <v>0</v>
      </c>
      <c r="I94" s="156">
        <f t="shared" si="12"/>
        <v>0</v>
      </c>
      <c r="J94" s="156">
        <f>SUM($H$17:$H94)</f>
        <v>1423.0974802243</v>
      </c>
    </row>
    <row r="95" hidden="1" spans="1:10">
      <c r="A95" s="154">
        <v>78</v>
      </c>
      <c r="B95" s="155">
        <f ca="1" t="shared" si="9"/>
        <v>51014</v>
      </c>
      <c r="C95" s="156">
        <f t="shared" si="13"/>
        <v>0</v>
      </c>
      <c r="D95" s="156">
        <f t="shared" si="16"/>
        <v>3570.51624670405</v>
      </c>
      <c r="E95" s="156">
        <f t="shared" si="10"/>
        <v>0</v>
      </c>
      <c r="F95" s="156">
        <f t="shared" si="11"/>
        <v>0</v>
      </c>
      <c r="G95" s="156">
        <f t="shared" si="14"/>
        <v>0</v>
      </c>
      <c r="H95" s="156">
        <f t="shared" si="15"/>
        <v>0</v>
      </c>
      <c r="I95" s="156">
        <f t="shared" si="12"/>
        <v>0</v>
      </c>
      <c r="J95" s="156">
        <f>SUM($H$17:$H95)</f>
        <v>1423.0974802243</v>
      </c>
    </row>
    <row r="96" hidden="1" spans="1:10">
      <c r="A96" s="154">
        <v>79</v>
      </c>
      <c r="B96" s="155">
        <f ca="1" t="shared" si="9"/>
        <v>51075</v>
      </c>
      <c r="C96" s="156">
        <f t="shared" si="13"/>
        <v>0</v>
      </c>
      <c r="D96" s="156">
        <f t="shared" si="16"/>
        <v>3570.51624670405</v>
      </c>
      <c r="E96" s="156">
        <f t="shared" si="10"/>
        <v>0</v>
      </c>
      <c r="F96" s="156">
        <f t="shared" si="11"/>
        <v>0</v>
      </c>
      <c r="G96" s="156">
        <f t="shared" si="14"/>
        <v>0</v>
      </c>
      <c r="H96" s="156">
        <f t="shared" si="15"/>
        <v>0</v>
      </c>
      <c r="I96" s="156">
        <f t="shared" si="12"/>
        <v>0</v>
      </c>
      <c r="J96" s="156">
        <f>SUM($H$17:$H96)</f>
        <v>1423.0974802243</v>
      </c>
    </row>
    <row r="97" hidden="1" spans="1:10">
      <c r="A97" s="154">
        <v>80</v>
      </c>
      <c r="B97" s="155">
        <f ca="1" t="shared" si="9"/>
        <v>51136</v>
      </c>
      <c r="C97" s="156">
        <f t="shared" si="13"/>
        <v>0</v>
      </c>
      <c r="D97" s="156">
        <f t="shared" si="16"/>
        <v>3570.51624670405</v>
      </c>
      <c r="E97" s="156">
        <f t="shared" si="10"/>
        <v>0</v>
      </c>
      <c r="F97" s="156">
        <f t="shared" si="11"/>
        <v>0</v>
      </c>
      <c r="G97" s="156">
        <f t="shared" si="14"/>
        <v>0</v>
      </c>
      <c r="H97" s="156">
        <f t="shared" si="15"/>
        <v>0</v>
      </c>
      <c r="I97" s="156">
        <f t="shared" si="12"/>
        <v>0</v>
      </c>
      <c r="J97" s="156">
        <f>SUM($H$17:$H97)</f>
        <v>1423.0974802243</v>
      </c>
    </row>
    <row r="98" hidden="1" spans="1:10">
      <c r="A98" s="154">
        <v>81</v>
      </c>
      <c r="B98" s="155">
        <f ca="1" t="shared" si="9"/>
        <v>51196</v>
      </c>
      <c r="C98" s="156">
        <f t="shared" si="13"/>
        <v>0</v>
      </c>
      <c r="D98" s="156">
        <f t="shared" si="16"/>
        <v>3570.51624670405</v>
      </c>
      <c r="E98" s="156">
        <f t="shared" si="10"/>
        <v>0</v>
      </c>
      <c r="F98" s="156">
        <f t="shared" si="11"/>
        <v>0</v>
      </c>
      <c r="G98" s="156">
        <f t="shared" si="14"/>
        <v>0</v>
      </c>
      <c r="H98" s="156">
        <f t="shared" si="15"/>
        <v>0</v>
      </c>
      <c r="I98" s="156">
        <f t="shared" si="12"/>
        <v>0</v>
      </c>
      <c r="J98" s="156">
        <f>SUM($H$17:$H98)</f>
        <v>1423.0974802243</v>
      </c>
    </row>
    <row r="99" hidden="1" spans="1:10">
      <c r="A99" s="154">
        <v>82</v>
      </c>
      <c r="B99" s="155">
        <f ca="1" t="shared" si="9"/>
        <v>51257</v>
      </c>
      <c r="C99" s="156">
        <f t="shared" si="13"/>
        <v>0</v>
      </c>
      <c r="D99" s="156">
        <f t="shared" si="16"/>
        <v>3570.51624670405</v>
      </c>
      <c r="E99" s="156">
        <f t="shared" si="10"/>
        <v>0</v>
      </c>
      <c r="F99" s="156">
        <f t="shared" si="11"/>
        <v>0</v>
      </c>
      <c r="G99" s="156">
        <f t="shared" si="14"/>
        <v>0</v>
      </c>
      <c r="H99" s="156">
        <f t="shared" si="15"/>
        <v>0</v>
      </c>
      <c r="I99" s="156">
        <f t="shared" si="12"/>
        <v>0</v>
      </c>
      <c r="J99" s="156">
        <f>SUM($H$17:$H99)</f>
        <v>1423.0974802243</v>
      </c>
    </row>
    <row r="100" hidden="1" spans="1:10">
      <c r="A100" s="154">
        <v>83</v>
      </c>
      <c r="B100" s="155">
        <f ca="1" t="shared" si="9"/>
        <v>51318</v>
      </c>
      <c r="C100" s="156">
        <f t="shared" si="13"/>
        <v>0</v>
      </c>
      <c r="D100" s="156">
        <f t="shared" si="16"/>
        <v>3570.51624670405</v>
      </c>
      <c r="E100" s="156">
        <f t="shared" si="10"/>
        <v>0</v>
      </c>
      <c r="F100" s="156">
        <f t="shared" si="11"/>
        <v>0</v>
      </c>
      <c r="G100" s="156">
        <f t="shared" si="14"/>
        <v>0</v>
      </c>
      <c r="H100" s="156">
        <f t="shared" si="15"/>
        <v>0</v>
      </c>
      <c r="I100" s="156">
        <f t="shared" si="12"/>
        <v>0</v>
      </c>
      <c r="J100" s="156">
        <f>SUM($H$17:$H100)</f>
        <v>1423.0974802243</v>
      </c>
    </row>
    <row r="101" hidden="1" spans="1:10">
      <c r="A101" s="154">
        <v>84</v>
      </c>
      <c r="B101" s="155">
        <f ca="1" t="shared" si="9"/>
        <v>51380</v>
      </c>
      <c r="C101" s="156">
        <f t="shared" si="13"/>
        <v>0</v>
      </c>
      <c r="D101" s="156">
        <f t="shared" si="16"/>
        <v>3570.51624670405</v>
      </c>
      <c r="E101" s="156">
        <f t="shared" si="10"/>
        <v>0</v>
      </c>
      <c r="F101" s="156">
        <f t="shared" si="11"/>
        <v>0</v>
      </c>
      <c r="G101" s="156">
        <f t="shared" si="14"/>
        <v>0</v>
      </c>
      <c r="H101" s="156">
        <f t="shared" si="15"/>
        <v>0</v>
      </c>
      <c r="I101" s="156">
        <f t="shared" si="12"/>
        <v>0</v>
      </c>
      <c r="J101" s="156">
        <f>SUM($H$17:$H101)</f>
        <v>1423.0974802243</v>
      </c>
    </row>
    <row r="102" hidden="1" spans="1:10">
      <c r="A102" s="154">
        <v>85</v>
      </c>
      <c r="B102" s="155">
        <f ca="1" t="shared" si="9"/>
        <v>51441</v>
      </c>
      <c r="C102" s="156">
        <f t="shared" si="13"/>
        <v>0</v>
      </c>
      <c r="D102" s="156">
        <f t="shared" si="16"/>
        <v>3570.51624670405</v>
      </c>
      <c r="E102" s="156">
        <f t="shared" si="10"/>
        <v>0</v>
      </c>
      <c r="F102" s="156">
        <f t="shared" si="11"/>
        <v>0</v>
      </c>
      <c r="G102" s="156">
        <f t="shared" si="14"/>
        <v>0</v>
      </c>
      <c r="H102" s="156">
        <f t="shared" si="15"/>
        <v>0</v>
      </c>
      <c r="I102" s="156">
        <f t="shared" si="12"/>
        <v>0</v>
      </c>
      <c r="J102" s="156">
        <f>SUM($H$17:$H102)</f>
        <v>1423.0974802243</v>
      </c>
    </row>
    <row r="103" hidden="1" spans="1:10">
      <c r="A103" s="154">
        <v>86</v>
      </c>
      <c r="B103" s="155">
        <f ca="1" t="shared" si="9"/>
        <v>51502</v>
      </c>
      <c r="C103" s="156">
        <f t="shared" si="13"/>
        <v>0</v>
      </c>
      <c r="D103" s="156">
        <f t="shared" si="16"/>
        <v>3570.51624670405</v>
      </c>
      <c r="E103" s="156">
        <f t="shared" si="10"/>
        <v>0</v>
      </c>
      <c r="F103" s="156">
        <f t="shared" si="11"/>
        <v>0</v>
      </c>
      <c r="G103" s="156">
        <f t="shared" si="14"/>
        <v>0</v>
      </c>
      <c r="H103" s="156">
        <f t="shared" si="15"/>
        <v>0</v>
      </c>
      <c r="I103" s="156">
        <f t="shared" si="12"/>
        <v>0</v>
      </c>
      <c r="J103" s="156">
        <f>SUM($H$17:$H103)</f>
        <v>1423.0974802243</v>
      </c>
    </row>
    <row r="104" hidden="1" spans="1:10">
      <c r="A104" s="154">
        <v>87</v>
      </c>
      <c r="B104" s="155">
        <f ca="1" t="shared" si="9"/>
        <v>51561</v>
      </c>
      <c r="C104" s="156">
        <f t="shared" si="13"/>
        <v>0</v>
      </c>
      <c r="D104" s="156">
        <f t="shared" si="16"/>
        <v>3570.51624670405</v>
      </c>
      <c r="E104" s="156">
        <f t="shared" si="10"/>
        <v>0</v>
      </c>
      <c r="F104" s="156">
        <f t="shared" si="11"/>
        <v>0</v>
      </c>
      <c r="G104" s="156">
        <f t="shared" si="14"/>
        <v>0</v>
      </c>
      <c r="H104" s="156">
        <f t="shared" si="15"/>
        <v>0</v>
      </c>
      <c r="I104" s="156">
        <f t="shared" si="12"/>
        <v>0</v>
      </c>
      <c r="J104" s="156">
        <f>SUM($H$17:$H104)</f>
        <v>1423.0974802243</v>
      </c>
    </row>
    <row r="105" hidden="1" spans="1:10">
      <c r="A105" s="154">
        <v>88</v>
      </c>
      <c r="B105" s="155">
        <f ca="1" t="shared" si="9"/>
        <v>51622</v>
      </c>
      <c r="C105" s="156">
        <f t="shared" si="13"/>
        <v>0</v>
      </c>
      <c r="D105" s="156">
        <f t="shared" si="16"/>
        <v>3570.51624670405</v>
      </c>
      <c r="E105" s="156">
        <f t="shared" si="10"/>
        <v>0</v>
      </c>
      <c r="F105" s="156">
        <f t="shared" si="11"/>
        <v>0</v>
      </c>
      <c r="G105" s="156">
        <f t="shared" si="14"/>
        <v>0</v>
      </c>
      <c r="H105" s="156">
        <f t="shared" si="15"/>
        <v>0</v>
      </c>
      <c r="I105" s="156">
        <f t="shared" si="12"/>
        <v>0</v>
      </c>
      <c r="J105" s="156">
        <f>SUM($H$17:$H105)</f>
        <v>1423.0974802243</v>
      </c>
    </row>
    <row r="106" hidden="1" spans="1:10">
      <c r="A106" s="154">
        <v>89</v>
      </c>
      <c r="B106" s="155">
        <f ca="1" t="shared" si="9"/>
        <v>51683</v>
      </c>
      <c r="C106" s="156">
        <f t="shared" si="13"/>
        <v>0</v>
      </c>
      <c r="D106" s="156">
        <f t="shared" si="16"/>
        <v>3570.51624670405</v>
      </c>
      <c r="E106" s="156">
        <f t="shared" si="10"/>
        <v>0</v>
      </c>
      <c r="F106" s="156">
        <f t="shared" si="11"/>
        <v>0</v>
      </c>
      <c r="G106" s="156">
        <f t="shared" si="14"/>
        <v>0</v>
      </c>
      <c r="H106" s="156">
        <f t="shared" si="15"/>
        <v>0</v>
      </c>
      <c r="I106" s="156">
        <f t="shared" si="12"/>
        <v>0</v>
      </c>
      <c r="J106" s="156">
        <f>SUM($H$17:$H106)</f>
        <v>1423.0974802243</v>
      </c>
    </row>
    <row r="107" hidden="1" spans="1:10">
      <c r="A107" s="154">
        <v>90</v>
      </c>
      <c r="B107" s="155">
        <f ca="1" t="shared" si="9"/>
        <v>51745</v>
      </c>
      <c r="C107" s="156">
        <f t="shared" si="13"/>
        <v>0</v>
      </c>
      <c r="D107" s="156">
        <f t="shared" si="16"/>
        <v>3570.51624670405</v>
      </c>
      <c r="E107" s="156">
        <f t="shared" si="10"/>
        <v>0</v>
      </c>
      <c r="F107" s="156">
        <f t="shared" si="11"/>
        <v>0</v>
      </c>
      <c r="G107" s="156">
        <f t="shared" si="14"/>
        <v>0</v>
      </c>
      <c r="H107" s="156">
        <f t="shared" si="15"/>
        <v>0</v>
      </c>
      <c r="I107" s="156">
        <f t="shared" si="12"/>
        <v>0</v>
      </c>
      <c r="J107" s="156">
        <f>SUM($H$17:$H107)</f>
        <v>1423.0974802243</v>
      </c>
    </row>
    <row r="108" hidden="1" spans="1:10">
      <c r="A108" s="154">
        <v>91</v>
      </c>
      <c r="B108" s="155">
        <f ca="1" t="shared" si="9"/>
        <v>51806</v>
      </c>
      <c r="C108" s="156">
        <f t="shared" si="13"/>
        <v>0</v>
      </c>
      <c r="D108" s="156">
        <f t="shared" si="16"/>
        <v>3570.51624670405</v>
      </c>
      <c r="E108" s="156">
        <f t="shared" si="10"/>
        <v>0</v>
      </c>
      <c r="F108" s="156">
        <f t="shared" si="11"/>
        <v>0</v>
      </c>
      <c r="G108" s="156">
        <f t="shared" si="14"/>
        <v>0</v>
      </c>
      <c r="H108" s="156">
        <f t="shared" si="15"/>
        <v>0</v>
      </c>
      <c r="I108" s="156">
        <f t="shared" si="12"/>
        <v>0</v>
      </c>
      <c r="J108" s="156">
        <f>SUM($H$17:$H108)</f>
        <v>1423.0974802243</v>
      </c>
    </row>
    <row r="109" hidden="1" spans="1:10">
      <c r="A109" s="154">
        <v>92</v>
      </c>
      <c r="B109" s="155">
        <f ca="1" t="shared" si="9"/>
        <v>51867</v>
      </c>
      <c r="C109" s="156">
        <f t="shared" si="13"/>
        <v>0</v>
      </c>
      <c r="D109" s="156">
        <f t="shared" si="16"/>
        <v>3570.51624670405</v>
      </c>
      <c r="E109" s="156">
        <f t="shared" si="10"/>
        <v>0</v>
      </c>
      <c r="F109" s="156">
        <f t="shared" si="11"/>
        <v>0</v>
      </c>
      <c r="G109" s="156">
        <f t="shared" si="14"/>
        <v>0</v>
      </c>
      <c r="H109" s="156">
        <f t="shared" si="15"/>
        <v>0</v>
      </c>
      <c r="I109" s="156">
        <f t="shared" si="12"/>
        <v>0</v>
      </c>
      <c r="J109" s="156">
        <f>SUM($H$17:$H109)</f>
        <v>1423.0974802243</v>
      </c>
    </row>
    <row r="110" hidden="1" spans="1:10">
      <c r="A110" s="154">
        <v>93</v>
      </c>
      <c r="B110" s="155">
        <f ca="1" t="shared" si="9"/>
        <v>51926</v>
      </c>
      <c r="C110" s="156">
        <f t="shared" si="13"/>
        <v>0</v>
      </c>
      <c r="D110" s="156">
        <f t="shared" si="16"/>
        <v>3570.51624670405</v>
      </c>
      <c r="E110" s="156">
        <f t="shared" si="10"/>
        <v>0</v>
      </c>
      <c r="F110" s="156">
        <f t="shared" si="11"/>
        <v>0</v>
      </c>
      <c r="G110" s="156">
        <f t="shared" si="14"/>
        <v>0</v>
      </c>
      <c r="H110" s="156">
        <f t="shared" si="15"/>
        <v>0</v>
      </c>
      <c r="I110" s="156">
        <f t="shared" si="12"/>
        <v>0</v>
      </c>
      <c r="J110" s="156">
        <f>SUM($H$17:$H110)</f>
        <v>1423.0974802243</v>
      </c>
    </row>
    <row r="111" hidden="1" spans="1:10">
      <c r="A111" s="154">
        <v>94</v>
      </c>
      <c r="B111" s="155">
        <f ca="1" t="shared" si="9"/>
        <v>51987</v>
      </c>
      <c r="C111" s="156">
        <f t="shared" si="13"/>
        <v>0</v>
      </c>
      <c r="D111" s="156">
        <f t="shared" si="16"/>
        <v>3570.51624670405</v>
      </c>
      <c r="E111" s="156">
        <f t="shared" si="10"/>
        <v>0</v>
      </c>
      <c r="F111" s="156">
        <f t="shared" si="11"/>
        <v>0</v>
      </c>
      <c r="G111" s="156">
        <f t="shared" si="14"/>
        <v>0</v>
      </c>
      <c r="H111" s="156">
        <f t="shared" si="15"/>
        <v>0</v>
      </c>
      <c r="I111" s="156">
        <f t="shared" si="12"/>
        <v>0</v>
      </c>
      <c r="J111" s="156">
        <f>SUM($H$17:$H111)</f>
        <v>1423.0974802243</v>
      </c>
    </row>
    <row r="112" hidden="1" spans="1:10">
      <c r="A112" s="154">
        <v>95</v>
      </c>
      <c r="B112" s="155">
        <f ca="1" t="shared" si="9"/>
        <v>52048</v>
      </c>
      <c r="C112" s="156">
        <f t="shared" si="13"/>
        <v>0</v>
      </c>
      <c r="D112" s="156">
        <f t="shared" si="16"/>
        <v>3570.51624670405</v>
      </c>
      <c r="E112" s="156">
        <f t="shared" si="10"/>
        <v>0</v>
      </c>
      <c r="F112" s="156">
        <f t="shared" si="11"/>
        <v>0</v>
      </c>
      <c r="G112" s="156">
        <f t="shared" si="14"/>
        <v>0</v>
      </c>
      <c r="H112" s="156">
        <f t="shared" si="15"/>
        <v>0</v>
      </c>
      <c r="I112" s="156">
        <f t="shared" si="12"/>
        <v>0</v>
      </c>
      <c r="J112" s="156">
        <f>SUM($H$17:$H112)</f>
        <v>1423.0974802243</v>
      </c>
    </row>
    <row r="113" hidden="1" spans="1:10">
      <c r="A113" s="154">
        <v>96</v>
      </c>
      <c r="B113" s="155">
        <f ca="1" t="shared" si="9"/>
        <v>52110</v>
      </c>
      <c r="C113" s="156">
        <f t="shared" si="13"/>
        <v>0</v>
      </c>
      <c r="D113" s="156">
        <f t="shared" si="16"/>
        <v>3570.51624670405</v>
      </c>
      <c r="E113" s="156">
        <f t="shared" si="10"/>
        <v>0</v>
      </c>
      <c r="F113" s="156">
        <f t="shared" si="11"/>
        <v>0</v>
      </c>
      <c r="G113" s="156">
        <f t="shared" si="14"/>
        <v>0</v>
      </c>
      <c r="H113" s="156">
        <f t="shared" si="15"/>
        <v>0</v>
      </c>
      <c r="I113" s="156">
        <f t="shared" si="12"/>
        <v>0</v>
      </c>
      <c r="J113" s="156">
        <f>SUM($H$17:$H113)</f>
        <v>1423.0974802243</v>
      </c>
    </row>
    <row r="114" hidden="1" spans="1:10">
      <c r="A114" s="154">
        <v>97</v>
      </c>
      <c r="B114" s="155">
        <f ca="1" t="shared" si="9"/>
        <v>52171</v>
      </c>
      <c r="C114" s="156">
        <f t="shared" si="13"/>
        <v>0</v>
      </c>
      <c r="D114" s="156">
        <f t="shared" si="16"/>
        <v>3570.51624670405</v>
      </c>
      <c r="E114" s="156">
        <f t="shared" si="10"/>
        <v>0</v>
      </c>
      <c r="F114" s="156">
        <f t="shared" si="11"/>
        <v>0</v>
      </c>
      <c r="G114" s="156">
        <f t="shared" si="14"/>
        <v>0</v>
      </c>
      <c r="H114" s="156">
        <f t="shared" si="15"/>
        <v>0</v>
      </c>
      <c r="I114" s="156">
        <f t="shared" si="12"/>
        <v>0</v>
      </c>
      <c r="J114" s="156">
        <f>SUM($H$17:$H114)</f>
        <v>1423.0974802243</v>
      </c>
    </row>
    <row r="115" hidden="1" spans="1:10">
      <c r="A115" s="154">
        <v>98</v>
      </c>
      <c r="B115" s="155">
        <f ca="1" t="shared" si="9"/>
        <v>52232</v>
      </c>
      <c r="C115" s="156">
        <f t="shared" si="13"/>
        <v>0</v>
      </c>
      <c r="D115" s="156">
        <f t="shared" si="16"/>
        <v>3570.51624670405</v>
      </c>
      <c r="E115" s="156">
        <f t="shared" si="10"/>
        <v>0</v>
      </c>
      <c r="F115" s="156">
        <f t="shared" si="11"/>
        <v>0</v>
      </c>
      <c r="G115" s="156">
        <f t="shared" si="14"/>
        <v>0</v>
      </c>
      <c r="H115" s="156">
        <f t="shared" si="15"/>
        <v>0</v>
      </c>
      <c r="I115" s="156">
        <f t="shared" si="12"/>
        <v>0</v>
      </c>
      <c r="J115" s="156">
        <f>SUM($H$17:$H115)</f>
        <v>1423.0974802243</v>
      </c>
    </row>
    <row r="116" hidden="1" spans="1:10">
      <c r="A116" s="154">
        <v>99</v>
      </c>
      <c r="B116" s="155">
        <f ca="1" t="shared" si="9"/>
        <v>52291</v>
      </c>
      <c r="C116" s="156">
        <f t="shared" si="13"/>
        <v>0</v>
      </c>
      <c r="D116" s="156">
        <f t="shared" si="16"/>
        <v>3570.51624670405</v>
      </c>
      <c r="E116" s="156">
        <f t="shared" si="10"/>
        <v>0</v>
      </c>
      <c r="F116" s="156">
        <f t="shared" si="11"/>
        <v>0</v>
      </c>
      <c r="G116" s="156">
        <f t="shared" si="14"/>
        <v>0</v>
      </c>
      <c r="H116" s="156">
        <f t="shared" si="15"/>
        <v>0</v>
      </c>
      <c r="I116" s="156">
        <f t="shared" si="12"/>
        <v>0</v>
      </c>
      <c r="J116" s="156">
        <f>SUM($H$17:$H116)</f>
        <v>1423.0974802243</v>
      </c>
    </row>
    <row r="117" hidden="1" spans="1:10">
      <c r="A117" s="154">
        <v>100</v>
      </c>
      <c r="B117" s="155">
        <f ca="1" t="shared" si="9"/>
        <v>52352</v>
      </c>
      <c r="C117" s="156">
        <f t="shared" si="13"/>
        <v>0</v>
      </c>
      <c r="D117" s="156">
        <f t="shared" si="16"/>
        <v>3570.51624670405</v>
      </c>
      <c r="E117" s="156">
        <f t="shared" si="10"/>
        <v>0</v>
      </c>
      <c r="F117" s="156">
        <f t="shared" si="11"/>
        <v>0</v>
      </c>
      <c r="G117" s="156">
        <f t="shared" si="14"/>
        <v>0</v>
      </c>
      <c r="H117" s="156">
        <f t="shared" si="15"/>
        <v>0</v>
      </c>
      <c r="I117" s="156">
        <f t="shared" si="12"/>
        <v>0</v>
      </c>
      <c r="J117" s="156">
        <f>SUM($H$17:$H117)</f>
        <v>1423.0974802243</v>
      </c>
    </row>
    <row r="118" hidden="1" spans="1:10">
      <c r="A118" s="154">
        <v>101</v>
      </c>
      <c r="B118" s="155">
        <f ca="1" t="shared" si="9"/>
        <v>52413</v>
      </c>
      <c r="C118" s="156">
        <f t="shared" si="13"/>
        <v>0</v>
      </c>
      <c r="D118" s="156">
        <f t="shared" si="16"/>
        <v>3570.51624670405</v>
      </c>
      <c r="E118" s="156">
        <f t="shared" si="10"/>
        <v>0</v>
      </c>
      <c r="F118" s="156">
        <f t="shared" si="11"/>
        <v>0</v>
      </c>
      <c r="G118" s="156">
        <f t="shared" si="14"/>
        <v>0</v>
      </c>
      <c r="H118" s="156">
        <f t="shared" si="15"/>
        <v>0</v>
      </c>
      <c r="I118" s="156">
        <f t="shared" si="12"/>
        <v>0</v>
      </c>
      <c r="J118" s="156">
        <f>SUM($H$17:$H118)</f>
        <v>1423.0974802243</v>
      </c>
    </row>
    <row r="119" hidden="1" spans="1:10">
      <c r="A119" s="154">
        <v>102</v>
      </c>
      <c r="B119" s="155">
        <f ca="1" t="shared" si="9"/>
        <v>52475</v>
      </c>
      <c r="C119" s="156">
        <f t="shared" si="13"/>
        <v>0</v>
      </c>
      <c r="D119" s="156">
        <f t="shared" si="16"/>
        <v>3570.51624670405</v>
      </c>
      <c r="E119" s="156">
        <f t="shared" si="10"/>
        <v>0</v>
      </c>
      <c r="F119" s="156">
        <f t="shared" si="11"/>
        <v>0</v>
      </c>
      <c r="G119" s="156">
        <f t="shared" si="14"/>
        <v>0</v>
      </c>
      <c r="H119" s="156">
        <f t="shared" si="15"/>
        <v>0</v>
      </c>
      <c r="I119" s="156">
        <f t="shared" si="12"/>
        <v>0</v>
      </c>
      <c r="J119" s="156">
        <f>SUM($H$17:$H119)</f>
        <v>1423.0974802243</v>
      </c>
    </row>
    <row r="120" hidden="1" spans="1:10">
      <c r="A120" s="154">
        <v>103</v>
      </c>
      <c r="B120" s="155">
        <f ca="1" t="shared" si="9"/>
        <v>52536</v>
      </c>
      <c r="C120" s="156">
        <f t="shared" si="13"/>
        <v>0</v>
      </c>
      <c r="D120" s="156">
        <f t="shared" si="16"/>
        <v>3570.51624670405</v>
      </c>
      <c r="E120" s="156">
        <f t="shared" si="10"/>
        <v>0</v>
      </c>
      <c r="F120" s="156">
        <f t="shared" si="11"/>
        <v>0</v>
      </c>
      <c r="G120" s="156">
        <f t="shared" si="14"/>
        <v>0</v>
      </c>
      <c r="H120" s="156">
        <f t="shared" si="15"/>
        <v>0</v>
      </c>
      <c r="I120" s="156">
        <f t="shared" si="12"/>
        <v>0</v>
      </c>
      <c r="J120" s="156">
        <f>SUM($H$17:$H120)</f>
        <v>1423.0974802243</v>
      </c>
    </row>
    <row r="121" hidden="1" spans="1:10">
      <c r="A121" s="154">
        <v>104</v>
      </c>
      <c r="B121" s="155">
        <f ca="1" t="shared" si="9"/>
        <v>52597</v>
      </c>
      <c r="C121" s="156">
        <f t="shared" si="13"/>
        <v>0</v>
      </c>
      <c r="D121" s="156">
        <f t="shared" si="16"/>
        <v>3570.51624670405</v>
      </c>
      <c r="E121" s="156">
        <f t="shared" si="10"/>
        <v>0</v>
      </c>
      <c r="F121" s="156">
        <f t="shared" si="11"/>
        <v>0</v>
      </c>
      <c r="G121" s="156">
        <f t="shared" si="14"/>
        <v>0</v>
      </c>
      <c r="H121" s="156">
        <f t="shared" si="15"/>
        <v>0</v>
      </c>
      <c r="I121" s="156">
        <f t="shared" si="12"/>
        <v>0</v>
      </c>
      <c r="J121" s="156">
        <f>SUM($H$17:$H121)</f>
        <v>1423.0974802243</v>
      </c>
    </row>
    <row r="122" hidden="1" spans="1:10">
      <c r="A122" s="154">
        <v>105</v>
      </c>
      <c r="B122" s="155">
        <f ca="1" t="shared" si="9"/>
        <v>52657</v>
      </c>
      <c r="C122" s="156">
        <f t="shared" si="13"/>
        <v>0</v>
      </c>
      <c r="D122" s="156">
        <f t="shared" si="16"/>
        <v>3570.51624670405</v>
      </c>
      <c r="E122" s="156">
        <f t="shared" si="10"/>
        <v>0</v>
      </c>
      <c r="F122" s="156">
        <f t="shared" si="11"/>
        <v>0</v>
      </c>
      <c r="G122" s="156">
        <f t="shared" si="14"/>
        <v>0</v>
      </c>
      <c r="H122" s="156">
        <f t="shared" si="15"/>
        <v>0</v>
      </c>
      <c r="I122" s="156">
        <f t="shared" si="12"/>
        <v>0</v>
      </c>
      <c r="J122" s="156">
        <f>SUM($H$17:$H122)</f>
        <v>1423.0974802243</v>
      </c>
    </row>
    <row r="123" hidden="1" spans="1:10">
      <c r="A123" s="154">
        <v>106</v>
      </c>
      <c r="B123" s="155">
        <f ca="1" t="shared" si="9"/>
        <v>52718</v>
      </c>
      <c r="C123" s="156">
        <f t="shared" si="13"/>
        <v>0</v>
      </c>
      <c r="D123" s="156">
        <f t="shared" si="16"/>
        <v>3570.51624670405</v>
      </c>
      <c r="E123" s="156">
        <f t="shared" si="10"/>
        <v>0</v>
      </c>
      <c r="F123" s="156">
        <f t="shared" si="11"/>
        <v>0</v>
      </c>
      <c r="G123" s="156">
        <f t="shared" si="14"/>
        <v>0</v>
      </c>
      <c r="H123" s="156">
        <f t="shared" si="15"/>
        <v>0</v>
      </c>
      <c r="I123" s="156">
        <f t="shared" si="12"/>
        <v>0</v>
      </c>
      <c r="J123" s="156">
        <f>SUM($H$17:$H123)</f>
        <v>1423.0974802243</v>
      </c>
    </row>
    <row r="124" hidden="1" spans="1:10">
      <c r="A124" s="154">
        <v>107</v>
      </c>
      <c r="B124" s="155">
        <f ca="1" t="shared" si="9"/>
        <v>52779</v>
      </c>
      <c r="C124" s="156">
        <f t="shared" si="13"/>
        <v>0</v>
      </c>
      <c r="D124" s="156">
        <f t="shared" si="16"/>
        <v>3570.51624670405</v>
      </c>
      <c r="E124" s="156">
        <f t="shared" si="10"/>
        <v>0</v>
      </c>
      <c r="F124" s="156">
        <f t="shared" si="11"/>
        <v>0</v>
      </c>
      <c r="G124" s="156">
        <f t="shared" si="14"/>
        <v>0</v>
      </c>
      <c r="H124" s="156">
        <f t="shared" si="15"/>
        <v>0</v>
      </c>
      <c r="I124" s="156">
        <f t="shared" si="12"/>
        <v>0</v>
      </c>
      <c r="J124" s="156">
        <f>SUM($H$17:$H124)</f>
        <v>1423.0974802243</v>
      </c>
    </row>
    <row r="125" hidden="1" spans="1:10">
      <c r="A125" s="154">
        <v>108</v>
      </c>
      <c r="B125" s="155">
        <f ca="1" t="shared" si="9"/>
        <v>52841</v>
      </c>
      <c r="C125" s="156">
        <f t="shared" si="13"/>
        <v>0</v>
      </c>
      <c r="D125" s="156">
        <f t="shared" si="16"/>
        <v>3570.51624670405</v>
      </c>
      <c r="E125" s="156">
        <f t="shared" si="10"/>
        <v>0</v>
      </c>
      <c r="F125" s="156">
        <f t="shared" si="11"/>
        <v>0</v>
      </c>
      <c r="G125" s="156">
        <f t="shared" si="14"/>
        <v>0</v>
      </c>
      <c r="H125" s="156">
        <f t="shared" si="15"/>
        <v>0</v>
      </c>
      <c r="I125" s="156">
        <f t="shared" si="12"/>
        <v>0</v>
      </c>
      <c r="J125" s="156">
        <f>SUM($H$17:$H125)</f>
        <v>1423.0974802243</v>
      </c>
    </row>
    <row r="126" hidden="1" spans="1:10">
      <c r="A126" s="154">
        <v>109</v>
      </c>
      <c r="B126" s="155">
        <f ca="1" t="shared" si="9"/>
        <v>52902</v>
      </c>
      <c r="C126" s="156">
        <f t="shared" si="13"/>
        <v>0</v>
      </c>
      <c r="D126" s="156">
        <f t="shared" si="16"/>
        <v>3570.51624670405</v>
      </c>
      <c r="E126" s="156">
        <f t="shared" si="10"/>
        <v>0</v>
      </c>
      <c r="F126" s="156">
        <f t="shared" si="11"/>
        <v>0</v>
      </c>
      <c r="G126" s="156">
        <f t="shared" si="14"/>
        <v>0</v>
      </c>
      <c r="H126" s="156">
        <f t="shared" si="15"/>
        <v>0</v>
      </c>
      <c r="I126" s="156">
        <f t="shared" si="12"/>
        <v>0</v>
      </c>
      <c r="J126" s="156">
        <f>SUM($H$17:$H126)</f>
        <v>1423.0974802243</v>
      </c>
    </row>
    <row r="127" hidden="1" spans="1:10">
      <c r="A127" s="154">
        <v>110</v>
      </c>
      <c r="B127" s="155">
        <f ca="1" t="shared" si="9"/>
        <v>52963</v>
      </c>
      <c r="C127" s="156">
        <f t="shared" si="13"/>
        <v>0</v>
      </c>
      <c r="D127" s="156">
        <f t="shared" si="16"/>
        <v>3570.51624670405</v>
      </c>
      <c r="E127" s="156">
        <f t="shared" si="10"/>
        <v>0</v>
      </c>
      <c r="F127" s="156">
        <f t="shared" si="11"/>
        <v>0</v>
      </c>
      <c r="G127" s="156">
        <f t="shared" si="14"/>
        <v>0</v>
      </c>
      <c r="H127" s="156">
        <f t="shared" si="15"/>
        <v>0</v>
      </c>
      <c r="I127" s="156">
        <f t="shared" si="12"/>
        <v>0</v>
      </c>
      <c r="J127" s="156">
        <f>SUM($H$17:$H127)</f>
        <v>1423.0974802243</v>
      </c>
    </row>
    <row r="128" hidden="1" spans="1:10">
      <c r="A128" s="154">
        <v>111</v>
      </c>
      <c r="B128" s="155">
        <f ca="1" t="shared" si="9"/>
        <v>53022</v>
      </c>
      <c r="C128" s="156">
        <f t="shared" si="13"/>
        <v>0</v>
      </c>
      <c r="D128" s="156">
        <f t="shared" si="16"/>
        <v>3570.51624670405</v>
      </c>
      <c r="E128" s="156">
        <f t="shared" si="10"/>
        <v>0</v>
      </c>
      <c r="F128" s="156">
        <f t="shared" si="11"/>
        <v>0</v>
      </c>
      <c r="G128" s="156">
        <f t="shared" si="14"/>
        <v>0</v>
      </c>
      <c r="H128" s="156">
        <f t="shared" si="15"/>
        <v>0</v>
      </c>
      <c r="I128" s="156">
        <f t="shared" si="12"/>
        <v>0</v>
      </c>
      <c r="J128" s="156">
        <f>SUM($H$17:$H128)</f>
        <v>1423.0974802243</v>
      </c>
    </row>
    <row r="129" hidden="1" spans="1:10">
      <c r="A129" s="154">
        <v>112</v>
      </c>
      <c r="B129" s="155">
        <f ca="1" t="shared" si="9"/>
        <v>53083</v>
      </c>
      <c r="C129" s="156">
        <f t="shared" si="13"/>
        <v>0</v>
      </c>
      <c r="D129" s="156">
        <f t="shared" si="16"/>
        <v>3570.51624670405</v>
      </c>
      <c r="E129" s="156">
        <f t="shared" si="10"/>
        <v>0</v>
      </c>
      <c r="F129" s="156">
        <f t="shared" si="11"/>
        <v>0</v>
      </c>
      <c r="G129" s="156">
        <f t="shared" si="14"/>
        <v>0</v>
      </c>
      <c r="H129" s="156">
        <f t="shared" si="15"/>
        <v>0</v>
      </c>
      <c r="I129" s="156">
        <f t="shared" si="12"/>
        <v>0</v>
      </c>
      <c r="J129" s="156">
        <f>SUM($H$17:$H129)</f>
        <v>1423.0974802243</v>
      </c>
    </row>
    <row r="130" hidden="1" spans="1:10">
      <c r="A130" s="154">
        <v>113</v>
      </c>
      <c r="B130" s="155">
        <f ca="1" t="shared" si="9"/>
        <v>53144</v>
      </c>
      <c r="C130" s="156">
        <f t="shared" si="13"/>
        <v>0</v>
      </c>
      <c r="D130" s="156">
        <f t="shared" si="16"/>
        <v>3570.51624670405</v>
      </c>
      <c r="E130" s="156">
        <f t="shared" si="10"/>
        <v>0</v>
      </c>
      <c r="F130" s="156">
        <f t="shared" si="11"/>
        <v>0</v>
      </c>
      <c r="G130" s="156">
        <f t="shared" si="14"/>
        <v>0</v>
      </c>
      <c r="H130" s="156">
        <f t="shared" si="15"/>
        <v>0</v>
      </c>
      <c r="I130" s="156">
        <f t="shared" si="12"/>
        <v>0</v>
      </c>
      <c r="J130" s="156">
        <f>SUM($H$17:$H130)</f>
        <v>1423.0974802243</v>
      </c>
    </row>
    <row r="131" hidden="1" spans="1:10">
      <c r="A131" s="154">
        <v>114</v>
      </c>
      <c r="B131" s="155">
        <f ca="1" t="shared" si="9"/>
        <v>53206</v>
      </c>
      <c r="C131" s="156">
        <f t="shared" si="13"/>
        <v>0</v>
      </c>
      <c r="D131" s="156">
        <f t="shared" si="16"/>
        <v>3570.51624670405</v>
      </c>
      <c r="E131" s="156">
        <f t="shared" si="10"/>
        <v>0</v>
      </c>
      <c r="F131" s="156">
        <f t="shared" si="11"/>
        <v>0</v>
      </c>
      <c r="G131" s="156">
        <f t="shared" si="14"/>
        <v>0</v>
      </c>
      <c r="H131" s="156">
        <f t="shared" si="15"/>
        <v>0</v>
      </c>
      <c r="I131" s="156">
        <f t="shared" si="12"/>
        <v>0</v>
      </c>
      <c r="J131" s="156">
        <f>SUM($H$17:$H131)</f>
        <v>1423.0974802243</v>
      </c>
    </row>
    <row r="132" hidden="1" spans="1:10">
      <c r="A132" s="154">
        <v>115</v>
      </c>
      <c r="B132" s="155">
        <f ca="1" t="shared" si="9"/>
        <v>53267</v>
      </c>
      <c r="C132" s="156">
        <f t="shared" si="13"/>
        <v>0</v>
      </c>
      <c r="D132" s="156">
        <f t="shared" si="16"/>
        <v>3570.51624670405</v>
      </c>
      <c r="E132" s="156">
        <f t="shared" si="10"/>
        <v>0</v>
      </c>
      <c r="F132" s="156">
        <f t="shared" si="11"/>
        <v>0</v>
      </c>
      <c r="G132" s="156">
        <f t="shared" si="14"/>
        <v>0</v>
      </c>
      <c r="H132" s="156">
        <f t="shared" si="15"/>
        <v>0</v>
      </c>
      <c r="I132" s="156">
        <f t="shared" si="12"/>
        <v>0</v>
      </c>
      <c r="J132" s="156">
        <f>SUM($H$17:$H132)</f>
        <v>1423.0974802243</v>
      </c>
    </row>
    <row r="133" hidden="1" spans="1:10">
      <c r="A133" s="154">
        <v>116</v>
      </c>
      <c r="B133" s="155">
        <f ca="1" t="shared" si="9"/>
        <v>53328</v>
      </c>
      <c r="C133" s="156">
        <f t="shared" si="13"/>
        <v>0</v>
      </c>
      <c r="D133" s="156">
        <f t="shared" si="16"/>
        <v>3570.51624670405</v>
      </c>
      <c r="E133" s="156">
        <f t="shared" si="10"/>
        <v>0</v>
      </c>
      <c r="F133" s="156">
        <f t="shared" si="11"/>
        <v>0</v>
      </c>
      <c r="G133" s="156">
        <f t="shared" si="14"/>
        <v>0</v>
      </c>
      <c r="H133" s="156">
        <f t="shared" si="15"/>
        <v>0</v>
      </c>
      <c r="I133" s="156">
        <f t="shared" si="12"/>
        <v>0</v>
      </c>
      <c r="J133" s="156">
        <f>SUM($H$17:$H133)</f>
        <v>1423.0974802243</v>
      </c>
    </row>
    <row r="134" hidden="1" spans="1:10">
      <c r="A134" s="154">
        <v>117</v>
      </c>
      <c r="B134" s="155">
        <f ca="1" t="shared" si="9"/>
        <v>53387</v>
      </c>
      <c r="C134" s="156">
        <f t="shared" si="13"/>
        <v>0</v>
      </c>
      <c r="D134" s="156">
        <f t="shared" si="16"/>
        <v>3570.51624670405</v>
      </c>
      <c r="E134" s="156">
        <f t="shared" si="10"/>
        <v>0</v>
      </c>
      <c r="F134" s="156">
        <f t="shared" si="11"/>
        <v>0</v>
      </c>
      <c r="G134" s="156">
        <f t="shared" si="14"/>
        <v>0</v>
      </c>
      <c r="H134" s="156">
        <f t="shared" si="15"/>
        <v>0</v>
      </c>
      <c r="I134" s="156">
        <f t="shared" si="12"/>
        <v>0</v>
      </c>
      <c r="J134" s="156">
        <f>SUM($H$17:$H134)</f>
        <v>1423.0974802243</v>
      </c>
    </row>
    <row r="135" hidden="1" spans="1:10">
      <c r="A135" s="154">
        <v>118</v>
      </c>
      <c r="B135" s="155">
        <f ca="1" t="shared" si="9"/>
        <v>53448</v>
      </c>
      <c r="C135" s="156">
        <f t="shared" si="13"/>
        <v>0</v>
      </c>
      <c r="D135" s="156">
        <f t="shared" si="16"/>
        <v>3570.51624670405</v>
      </c>
      <c r="E135" s="156">
        <f t="shared" si="10"/>
        <v>0</v>
      </c>
      <c r="F135" s="156">
        <f t="shared" si="11"/>
        <v>0</v>
      </c>
      <c r="G135" s="156">
        <f t="shared" si="14"/>
        <v>0</v>
      </c>
      <c r="H135" s="156">
        <f t="shared" si="15"/>
        <v>0</v>
      </c>
      <c r="I135" s="156">
        <f t="shared" si="12"/>
        <v>0</v>
      </c>
      <c r="J135" s="156">
        <f>SUM($H$17:$H135)</f>
        <v>1423.0974802243</v>
      </c>
    </row>
    <row r="136" hidden="1" spans="1:10">
      <c r="A136" s="154">
        <v>119</v>
      </c>
      <c r="B136" s="155">
        <f ca="1" t="shared" si="9"/>
        <v>53509</v>
      </c>
      <c r="C136" s="156">
        <f t="shared" si="13"/>
        <v>0</v>
      </c>
      <c r="D136" s="156">
        <f t="shared" si="16"/>
        <v>3570.51624670405</v>
      </c>
      <c r="E136" s="156">
        <f t="shared" si="10"/>
        <v>0</v>
      </c>
      <c r="F136" s="156">
        <f t="shared" si="11"/>
        <v>0</v>
      </c>
      <c r="G136" s="156">
        <f t="shared" si="14"/>
        <v>0</v>
      </c>
      <c r="H136" s="156">
        <f t="shared" si="15"/>
        <v>0</v>
      </c>
      <c r="I136" s="156">
        <f t="shared" si="12"/>
        <v>0</v>
      </c>
      <c r="J136" s="156">
        <f>SUM($H$17:$H136)</f>
        <v>1423.0974802243</v>
      </c>
    </row>
    <row r="137" hidden="1" spans="1:10">
      <c r="A137" s="154">
        <v>120</v>
      </c>
      <c r="B137" s="155">
        <f ca="1" t="shared" si="9"/>
        <v>53571</v>
      </c>
      <c r="C137" s="156">
        <f t="shared" si="13"/>
        <v>0</v>
      </c>
      <c r="D137" s="156">
        <f t="shared" si="16"/>
        <v>3570.51624670405</v>
      </c>
      <c r="E137" s="156">
        <f t="shared" si="10"/>
        <v>0</v>
      </c>
      <c r="F137" s="156">
        <f t="shared" si="11"/>
        <v>0</v>
      </c>
      <c r="G137" s="156">
        <f t="shared" si="14"/>
        <v>0</v>
      </c>
      <c r="H137" s="156">
        <f t="shared" si="15"/>
        <v>0</v>
      </c>
      <c r="I137" s="156">
        <f t="shared" si="12"/>
        <v>0</v>
      </c>
      <c r="J137" s="156">
        <f>SUM($H$17:$H137)</f>
        <v>1423.0974802243</v>
      </c>
    </row>
    <row r="138" hidden="1" spans="1:10">
      <c r="A138" s="154">
        <v>121</v>
      </c>
      <c r="B138" s="155">
        <f ca="1" t="shared" si="9"/>
        <v>53632</v>
      </c>
      <c r="C138" s="156">
        <f t="shared" si="13"/>
        <v>0</v>
      </c>
      <c r="D138" s="156">
        <f t="shared" si="16"/>
        <v>3570.51624670405</v>
      </c>
      <c r="E138" s="156">
        <f t="shared" si="10"/>
        <v>0</v>
      </c>
      <c r="F138" s="156">
        <f t="shared" si="11"/>
        <v>0</v>
      </c>
      <c r="G138" s="156">
        <f t="shared" si="14"/>
        <v>0</v>
      </c>
      <c r="H138" s="156">
        <f t="shared" si="15"/>
        <v>0</v>
      </c>
      <c r="I138" s="156">
        <f t="shared" si="12"/>
        <v>0</v>
      </c>
      <c r="J138" s="156">
        <f>SUM($H$17:$H138)</f>
        <v>1423.0974802243</v>
      </c>
    </row>
    <row r="139" hidden="1" spans="1:10">
      <c r="A139" s="154">
        <v>122</v>
      </c>
      <c r="B139" s="155">
        <f ca="1" t="shared" si="9"/>
        <v>53693</v>
      </c>
      <c r="C139" s="156">
        <f t="shared" si="13"/>
        <v>0</v>
      </c>
      <c r="D139" s="156">
        <f t="shared" si="16"/>
        <v>3570.51624670405</v>
      </c>
      <c r="E139" s="156">
        <f t="shared" si="10"/>
        <v>0</v>
      </c>
      <c r="F139" s="156">
        <f t="shared" si="11"/>
        <v>0</v>
      </c>
      <c r="G139" s="156">
        <f t="shared" si="14"/>
        <v>0</v>
      </c>
      <c r="H139" s="156">
        <f t="shared" si="15"/>
        <v>0</v>
      </c>
      <c r="I139" s="156">
        <f t="shared" si="12"/>
        <v>0</v>
      </c>
      <c r="J139" s="156">
        <f>SUM($H$17:$H139)</f>
        <v>1423.0974802243</v>
      </c>
    </row>
    <row r="140" hidden="1" spans="1:10">
      <c r="A140" s="154">
        <v>123</v>
      </c>
      <c r="B140" s="155">
        <f ca="1" t="shared" si="9"/>
        <v>53752</v>
      </c>
      <c r="C140" s="156">
        <f t="shared" si="13"/>
        <v>0</v>
      </c>
      <c r="D140" s="156">
        <f t="shared" si="16"/>
        <v>3570.51624670405</v>
      </c>
      <c r="E140" s="156">
        <f t="shared" si="10"/>
        <v>0</v>
      </c>
      <c r="F140" s="156">
        <f t="shared" si="11"/>
        <v>0</v>
      </c>
      <c r="G140" s="156">
        <f t="shared" si="14"/>
        <v>0</v>
      </c>
      <c r="H140" s="156">
        <f t="shared" si="15"/>
        <v>0</v>
      </c>
      <c r="I140" s="156">
        <f t="shared" si="12"/>
        <v>0</v>
      </c>
      <c r="J140" s="156">
        <f>SUM($H$17:$H140)</f>
        <v>1423.0974802243</v>
      </c>
    </row>
    <row r="141" hidden="1" spans="1:10">
      <c r="A141" s="154">
        <v>124</v>
      </c>
      <c r="B141" s="155">
        <f ca="1" t="shared" si="9"/>
        <v>53813</v>
      </c>
      <c r="C141" s="156">
        <f t="shared" si="13"/>
        <v>0</v>
      </c>
      <c r="D141" s="156">
        <f t="shared" si="16"/>
        <v>3570.51624670405</v>
      </c>
      <c r="E141" s="156">
        <f t="shared" si="10"/>
        <v>0</v>
      </c>
      <c r="F141" s="156">
        <f t="shared" si="11"/>
        <v>0</v>
      </c>
      <c r="G141" s="156">
        <f t="shared" si="14"/>
        <v>0</v>
      </c>
      <c r="H141" s="156">
        <f t="shared" si="15"/>
        <v>0</v>
      </c>
      <c r="I141" s="156">
        <f t="shared" si="12"/>
        <v>0</v>
      </c>
      <c r="J141" s="156">
        <f>SUM($H$17:$H141)</f>
        <v>1423.0974802243</v>
      </c>
    </row>
    <row r="142" hidden="1" spans="1:10">
      <c r="A142" s="154">
        <v>125</v>
      </c>
      <c r="B142" s="155">
        <f ca="1" t="shared" si="9"/>
        <v>53874</v>
      </c>
      <c r="C142" s="156">
        <f t="shared" si="13"/>
        <v>0</v>
      </c>
      <c r="D142" s="156">
        <f t="shared" si="16"/>
        <v>3570.51624670405</v>
      </c>
      <c r="E142" s="156">
        <f t="shared" si="10"/>
        <v>0</v>
      </c>
      <c r="F142" s="156">
        <f t="shared" si="11"/>
        <v>0</v>
      </c>
      <c r="G142" s="156">
        <f t="shared" si="14"/>
        <v>0</v>
      </c>
      <c r="H142" s="156">
        <f t="shared" si="15"/>
        <v>0</v>
      </c>
      <c r="I142" s="156">
        <f t="shared" si="12"/>
        <v>0</v>
      </c>
      <c r="J142" s="156">
        <f>SUM($H$17:$H142)</f>
        <v>1423.0974802243</v>
      </c>
    </row>
    <row r="143" hidden="1" spans="1:10">
      <c r="A143" s="154">
        <v>126</v>
      </c>
      <c r="B143" s="155">
        <f ca="1" t="shared" si="9"/>
        <v>53936</v>
      </c>
      <c r="C143" s="156">
        <f t="shared" si="13"/>
        <v>0</v>
      </c>
      <c r="D143" s="156">
        <f t="shared" si="16"/>
        <v>3570.51624670405</v>
      </c>
      <c r="E143" s="156">
        <f t="shared" si="10"/>
        <v>0</v>
      </c>
      <c r="F143" s="156">
        <f t="shared" si="11"/>
        <v>0</v>
      </c>
      <c r="G143" s="156">
        <f t="shared" si="14"/>
        <v>0</v>
      </c>
      <c r="H143" s="156">
        <f t="shared" si="15"/>
        <v>0</v>
      </c>
      <c r="I143" s="156">
        <f t="shared" si="12"/>
        <v>0</v>
      </c>
      <c r="J143" s="156">
        <f>SUM($H$17:$H143)</f>
        <v>1423.0974802243</v>
      </c>
    </row>
    <row r="144" hidden="1" spans="1:10">
      <c r="A144" s="154">
        <v>127</v>
      </c>
      <c r="B144" s="155">
        <f ca="1" t="shared" si="9"/>
        <v>53997</v>
      </c>
      <c r="C144" s="156">
        <f t="shared" si="13"/>
        <v>0</v>
      </c>
      <c r="D144" s="156">
        <f t="shared" si="16"/>
        <v>3570.51624670405</v>
      </c>
      <c r="E144" s="156">
        <f t="shared" si="10"/>
        <v>0</v>
      </c>
      <c r="F144" s="156">
        <f t="shared" si="11"/>
        <v>0</v>
      </c>
      <c r="G144" s="156">
        <f t="shared" si="14"/>
        <v>0</v>
      </c>
      <c r="H144" s="156">
        <f t="shared" si="15"/>
        <v>0</v>
      </c>
      <c r="I144" s="156">
        <f t="shared" si="12"/>
        <v>0</v>
      </c>
      <c r="J144" s="156">
        <f>SUM($H$17:$H144)</f>
        <v>1423.0974802243</v>
      </c>
    </row>
    <row r="145" hidden="1" spans="1:10">
      <c r="A145" s="154">
        <v>128</v>
      </c>
      <c r="B145" s="155">
        <f ca="1" t="shared" si="9"/>
        <v>54058</v>
      </c>
      <c r="C145" s="156">
        <f t="shared" si="13"/>
        <v>0</v>
      </c>
      <c r="D145" s="156">
        <f t="shared" si="16"/>
        <v>3570.51624670405</v>
      </c>
      <c r="E145" s="156">
        <f t="shared" si="10"/>
        <v>0</v>
      </c>
      <c r="F145" s="156">
        <f t="shared" si="11"/>
        <v>0</v>
      </c>
      <c r="G145" s="156">
        <f t="shared" si="14"/>
        <v>0</v>
      </c>
      <c r="H145" s="156">
        <f t="shared" si="15"/>
        <v>0</v>
      </c>
      <c r="I145" s="156">
        <f t="shared" si="12"/>
        <v>0</v>
      </c>
      <c r="J145" s="156">
        <f>SUM($H$17:$H145)</f>
        <v>1423.0974802243</v>
      </c>
    </row>
    <row r="146" hidden="1" spans="1:10">
      <c r="A146" s="154">
        <v>129</v>
      </c>
      <c r="B146" s="155">
        <f ca="1" t="shared" ref="B146:B209" si="17">IF(Pay_Num&lt;&gt;"",DATE(YEAR(Loan_Start),MONTH(Loan_Start)+(Pay_Num)*12/Num_Pmt_Per_Year,DAY(Loan_Start)),"")</f>
        <v>54118</v>
      </c>
      <c r="C146" s="156">
        <f t="shared" si="13"/>
        <v>0</v>
      </c>
      <c r="D146" s="156">
        <f t="shared" si="16"/>
        <v>3570.51624670405</v>
      </c>
      <c r="E146" s="156">
        <f t="shared" ref="E146:E209" si="18">IF(AND(Pay_Num&lt;&gt;"",Sched_Pay+Scheduled_Extra_Payments&lt;Beg_Bal),Scheduled_Extra_Payments,IF(AND(Pay_Num&lt;&gt;"",Beg_Bal-Sched_Pay&gt;0),Beg_Bal-Sched_Pay,IF(Pay_Num&lt;&gt;"",0,"")))</f>
        <v>0</v>
      </c>
      <c r="F146" s="156">
        <f t="shared" ref="F146:F209" si="19">IF(AND(Pay_Num&lt;&gt;"",Sched_Pay+Extra_Pay&lt;Beg_Bal),Sched_Pay+Extra_Pay,IF(Pay_Num&lt;&gt;"",Beg_Bal,""))</f>
        <v>0</v>
      </c>
      <c r="G146" s="156">
        <f t="shared" si="14"/>
        <v>0</v>
      </c>
      <c r="H146" s="156">
        <f t="shared" si="15"/>
        <v>0</v>
      </c>
      <c r="I146" s="156">
        <f t="shared" ref="I146:I209" si="20">IF(AND(Pay_Num&lt;&gt;"",Sched_Pay+Extra_Pay&lt;Beg_Bal),Beg_Bal-Princ,IF(Pay_Num&lt;&gt;"",0,""))</f>
        <v>0</v>
      </c>
      <c r="J146" s="156">
        <f>SUM($H$17:$H146)</f>
        <v>1423.0974802243</v>
      </c>
    </row>
    <row r="147" hidden="1" spans="1:10">
      <c r="A147" s="154">
        <v>130</v>
      </c>
      <c r="B147" s="155">
        <f ca="1" t="shared" si="17"/>
        <v>54179</v>
      </c>
      <c r="C147" s="156">
        <f t="shared" ref="C147:C210" si="21">IF(Pay_Num&lt;&gt;"",I146,"")</f>
        <v>0</v>
      </c>
      <c r="D147" s="156">
        <f t="shared" si="16"/>
        <v>3570.51624670405</v>
      </c>
      <c r="E147" s="156">
        <f t="shared" si="18"/>
        <v>0</v>
      </c>
      <c r="F147" s="156">
        <f t="shared" si="19"/>
        <v>0</v>
      </c>
      <c r="G147" s="156">
        <f t="shared" ref="G147:G210" si="22">IF(Pay_Num&lt;&gt;"",Total_Pay-Int,"")</f>
        <v>0</v>
      </c>
      <c r="H147" s="156">
        <f t="shared" ref="H147:H210" si="23">IF(Pay_Num&lt;&gt;"",Beg_Bal*Interest_Rate/Num_Pmt_Per_Year,"")</f>
        <v>0</v>
      </c>
      <c r="I147" s="156">
        <f t="shared" si="20"/>
        <v>0</v>
      </c>
      <c r="J147" s="156">
        <f>SUM($H$17:$H147)</f>
        <v>1423.0974802243</v>
      </c>
    </row>
    <row r="148" hidden="1" spans="1:10">
      <c r="A148" s="154">
        <v>131</v>
      </c>
      <c r="B148" s="155">
        <f ca="1" t="shared" si="17"/>
        <v>54240</v>
      </c>
      <c r="C148" s="156">
        <f t="shared" si="21"/>
        <v>0</v>
      </c>
      <c r="D148" s="156">
        <f t="shared" ref="D148:D211" si="24">IF(Pay_Num&lt;&gt;"",Scheduled_Monthly_Payment,"")</f>
        <v>3570.51624670405</v>
      </c>
      <c r="E148" s="156">
        <f t="shared" si="18"/>
        <v>0</v>
      </c>
      <c r="F148" s="156">
        <f t="shared" si="19"/>
        <v>0</v>
      </c>
      <c r="G148" s="156">
        <f t="shared" si="22"/>
        <v>0</v>
      </c>
      <c r="H148" s="156">
        <f t="shared" si="23"/>
        <v>0</v>
      </c>
      <c r="I148" s="156">
        <f t="shared" si="20"/>
        <v>0</v>
      </c>
      <c r="J148" s="156">
        <f>SUM($H$17:$H148)</f>
        <v>1423.0974802243</v>
      </c>
    </row>
    <row r="149" hidden="1" spans="1:10">
      <c r="A149" s="154">
        <v>132</v>
      </c>
      <c r="B149" s="155">
        <f ca="1" t="shared" si="17"/>
        <v>54302</v>
      </c>
      <c r="C149" s="156">
        <f t="shared" si="21"/>
        <v>0</v>
      </c>
      <c r="D149" s="156">
        <f t="shared" si="24"/>
        <v>3570.51624670405</v>
      </c>
      <c r="E149" s="156">
        <f t="shared" si="18"/>
        <v>0</v>
      </c>
      <c r="F149" s="156">
        <f t="shared" si="19"/>
        <v>0</v>
      </c>
      <c r="G149" s="156">
        <f t="shared" si="22"/>
        <v>0</v>
      </c>
      <c r="H149" s="156">
        <f t="shared" si="23"/>
        <v>0</v>
      </c>
      <c r="I149" s="156">
        <f t="shared" si="20"/>
        <v>0</v>
      </c>
      <c r="J149" s="156">
        <f>SUM($H$17:$H149)</f>
        <v>1423.0974802243</v>
      </c>
    </row>
    <row r="150" hidden="1" spans="1:10">
      <c r="A150" s="154">
        <v>133</v>
      </c>
      <c r="B150" s="155">
        <f ca="1" t="shared" si="17"/>
        <v>54363</v>
      </c>
      <c r="C150" s="156">
        <f t="shared" si="21"/>
        <v>0</v>
      </c>
      <c r="D150" s="156">
        <f t="shared" si="24"/>
        <v>3570.51624670405</v>
      </c>
      <c r="E150" s="156">
        <f t="shared" si="18"/>
        <v>0</v>
      </c>
      <c r="F150" s="156">
        <f t="shared" si="19"/>
        <v>0</v>
      </c>
      <c r="G150" s="156">
        <f t="shared" si="22"/>
        <v>0</v>
      </c>
      <c r="H150" s="156">
        <f t="shared" si="23"/>
        <v>0</v>
      </c>
      <c r="I150" s="156">
        <f t="shared" si="20"/>
        <v>0</v>
      </c>
      <c r="J150" s="156">
        <f>SUM($H$17:$H150)</f>
        <v>1423.0974802243</v>
      </c>
    </row>
    <row r="151" hidden="1" spans="1:10">
      <c r="A151" s="154">
        <v>134</v>
      </c>
      <c r="B151" s="155">
        <f ca="1" t="shared" si="17"/>
        <v>54424</v>
      </c>
      <c r="C151" s="156">
        <f t="shared" si="21"/>
        <v>0</v>
      </c>
      <c r="D151" s="156">
        <f t="shared" si="24"/>
        <v>3570.51624670405</v>
      </c>
      <c r="E151" s="156">
        <f t="shared" si="18"/>
        <v>0</v>
      </c>
      <c r="F151" s="156">
        <f t="shared" si="19"/>
        <v>0</v>
      </c>
      <c r="G151" s="156">
        <f t="shared" si="22"/>
        <v>0</v>
      </c>
      <c r="H151" s="156">
        <f t="shared" si="23"/>
        <v>0</v>
      </c>
      <c r="I151" s="156">
        <f t="shared" si="20"/>
        <v>0</v>
      </c>
      <c r="J151" s="156">
        <f>SUM($H$17:$H151)</f>
        <v>1423.0974802243</v>
      </c>
    </row>
    <row r="152" hidden="1" spans="1:10">
      <c r="A152" s="154">
        <v>135</v>
      </c>
      <c r="B152" s="155">
        <f ca="1" t="shared" si="17"/>
        <v>54483</v>
      </c>
      <c r="C152" s="156">
        <f t="shared" si="21"/>
        <v>0</v>
      </c>
      <c r="D152" s="156">
        <f t="shared" si="24"/>
        <v>3570.51624670405</v>
      </c>
      <c r="E152" s="156">
        <f t="shared" si="18"/>
        <v>0</v>
      </c>
      <c r="F152" s="156">
        <f t="shared" si="19"/>
        <v>0</v>
      </c>
      <c r="G152" s="156">
        <f t="shared" si="22"/>
        <v>0</v>
      </c>
      <c r="H152" s="156">
        <f t="shared" si="23"/>
        <v>0</v>
      </c>
      <c r="I152" s="156">
        <f t="shared" si="20"/>
        <v>0</v>
      </c>
      <c r="J152" s="156">
        <f>SUM($H$17:$H152)</f>
        <v>1423.0974802243</v>
      </c>
    </row>
    <row r="153" hidden="1" spans="1:10">
      <c r="A153" s="154">
        <v>136</v>
      </c>
      <c r="B153" s="155">
        <f ca="1" t="shared" si="17"/>
        <v>54544</v>
      </c>
      <c r="C153" s="156">
        <f t="shared" si="21"/>
        <v>0</v>
      </c>
      <c r="D153" s="156">
        <f t="shared" si="24"/>
        <v>3570.51624670405</v>
      </c>
      <c r="E153" s="156">
        <f t="shared" si="18"/>
        <v>0</v>
      </c>
      <c r="F153" s="156">
        <f t="shared" si="19"/>
        <v>0</v>
      </c>
      <c r="G153" s="156">
        <f t="shared" si="22"/>
        <v>0</v>
      </c>
      <c r="H153" s="156">
        <f t="shared" si="23"/>
        <v>0</v>
      </c>
      <c r="I153" s="156">
        <f t="shared" si="20"/>
        <v>0</v>
      </c>
      <c r="J153" s="156">
        <f>SUM($H$17:$H153)</f>
        <v>1423.0974802243</v>
      </c>
    </row>
    <row r="154" hidden="1" spans="1:10">
      <c r="A154" s="154">
        <v>137</v>
      </c>
      <c r="B154" s="155">
        <f ca="1" t="shared" si="17"/>
        <v>54605</v>
      </c>
      <c r="C154" s="156">
        <f t="shared" si="21"/>
        <v>0</v>
      </c>
      <c r="D154" s="156">
        <f t="shared" si="24"/>
        <v>3570.51624670405</v>
      </c>
      <c r="E154" s="156">
        <f t="shared" si="18"/>
        <v>0</v>
      </c>
      <c r="F154" s="156">
        <f t="shared" si="19"/>
        <v>0</v>
      </c>
      <c r="G154" s="156">
        <f t="shared" si="22"/>
        <v>0</v>
      </c>
      <c r="H154" s="156">
        <f t="shared" si="23"/>
        <v>0</v>
      </c>
      <c r="I154" s="156">
        <f t="shared" si="20"/>
        <v>0</v>
      </c>
      <c r="J154" s="156">
        <f>SUM($H$17:$H154)</f>
        <v>1423.0974802243</v>
      </c>
    </row>
    <row r="155" hidden="1" spans="1:10">
      <c r="A155" s="154">
        <v>138</v>
      </c>
      <c r="B155" s="155">
        <f ca="1" t="shared" si="17"/>
        <v>54667</v>
      </c>
      <c r="C155" s="156">
        <f t="shared" si="21"/>
        <v>0</v>
      </c>
      <c r="D155" s="156">
        <f t="shared" si="24"/>
        <v>3570.51624670405</v>
      </c>
      <c r="E155" s="156">
        <f t="shared" si="18"/>
        <v>0</v>
      </c>
      <c r="F155" s="156">
        <f t="shared" si="19"/>
        <v>0</v>
      </c>
      <c r="G155" s="156">
        <f t="shared" si="22"/>
        <v>0</v>
      </c>
      <c r="H155" s="156">
        <f t="shared" si="23"/>
        <v>0</v>
      </c>
      <c r="I155" s="156">
        <f t="shared" si="20"/>
        <v>0</v>
      </c>
      <c r="J155" s="156">
        <f>SUM($H$17:$H155)</f>
        <v>1423.0974802243</v>
      </c>
    </row>
    <row r="156" hidden="1" spans="1:10">
      <c r="A156" s="154">
        <v>139</v>
      </c>
      <c r="B156" s="155">
        <f ca="1" t="shared" si="17"/>
        <v>54728</v>
      </c>
      <c r="C156" s="156">
        <f t="shared" si="21"/>
        <v>0</v>
      </c>
      <c r="D156" s="156">
        <f t="shared" si="24"/>
        <v>3570.51624670405</v>
      </c>
      <c r="E156" s="156">
        <f t="shared" si="18"/>
        <v>0</v>
      </c>
      <c r="F156" s="156">
        <f t="shared" si="19"/>
        <v>0</v>
      </c>
      <c r="G156" s="156">
        <f t="shared" si="22"/>
        <v>0</v>
      </c>
      <c r="H156" s="156">
        <f t="shared" si="23"/>
        <v>0</v>
      </c>
      <c r="I156" s="156">
        <f t="shared" si="20"/>
        <v>0</v>
      </c>
      <c r="J156" s="156">
        <f>SUM($H$17:$H156)</f>
        <v>1423.0974802243</v>
      </c>
    </row>
    <row r="157" hidden="1" spans="1:10">
      <c r="A157" s="154">
        <v>140</v>
      </c>
      <c r="B157" s="155">
        <f ca="1" t="shared" si="17"/>
        <v>54789</v>
      </c>
      <c r="C157" s="156">
        <f t="shared" si="21"/>
        <v>0</v>
      </c>
      <c r="D157" s="156">
        <f t="shared" si="24"/>
        <v>3570.51624670405</v>
      </c>
      <c r="E157" s="156">
        <f t="shared" si="18"/>
        <v>0</v>
      </c>
      <c r="F157" s="156">
        <f t="shared" si="19"/>
        <v>0</v>
      </c>
      <c r="G157" s="156">
        <f t="shared" si="22"/>
        <v>0</v>
      </c>
      <c r="H157" s="156">
        <f t="shared" si="23"/>
        <v>0</v>
      </c>
      <c r="I157" s="156">
        <f t="shared" si="20"/>
        <v>0</v>
      </c>
      <c r="J157" s="156">
        <f>SUM($H$17:$H157)</f>
        <v>1423.0974802243</v>
      </c>
    </row>
    <row r="158" hidden="1" spans="1:10">
      <c r="A158" s="154">
        <v>141</v>
      </c>
      <c r="B158" s="155">
        <f ca="1" t="shared" si="17"/>
        <v>54848</v>
      </c>
      <c r="C158" s="156">
        <f t="shared" si="21"/>
        <v>0</v>
      </c>
      <c r="D158" s="156">
        <f t="shared" si="24"/>
        <v>3570.51624670405</v>
      </c>
      <c r="E158" s="156">
        <f t="shared" si="18"/>
        <v>0</v>
      </c>
      <c r="F158" s="156">
        <f t="shared" si="19"/>
        <v>0</v>
      </c>
      <c r="G158" s="156">
        <f t="shared" si="22"/>
        <v>0</v>
      </c>
      <c r="H158" s="156">
        <f t="shared" si="23"/>
        <v>0</v>
      </c>
      <c r="I158" s="156">
        <f t="shared" si="20"/>
        <v>0</v>
      </c>
      <c r="J158" s="156">
        <f>SUM($H$17:$H158)</f>
        <v>1423.0974802243</v>
      </c>
    </row>
    <row r="159" hidden="1" spans="1:10">
      <c r="A159" s="154">
        <v>142</v>
      </c>
      <c r="B159" s="155">
        <f ca="1" t="shared" si="17"/>
        <v>54909</v>
      </c>
      <c r="C159" s="156">
        <f t="shared" si="21"/>
        <v>0</v>
      </c>
      <c r="D159" s="156">
        <f t="shared" si="24"/>
        <v>3570.51624670405</v>
      </c>
      <c r="E159" s="156">
        <f t="shared" si="18"/>
        <v>0</v>
      </c>
      <c r="F159" s="156">
        <f t="shared" si="19"/>
        <v>0</v>
      </c>
      <c r="G159" s="156">
        <f t="shared" si="22"/>
        <v>0</v>
      </c>
      <c r="H159" s="156">
        <f t="shared" si="23"/>
        <v>0</v>
      </c>
      <c r="I159" s="156">
        <f t="shared" si="20"/>
        <v>0</v>
      </c>
      <c r="J159" s="156">
        <f>SUM($H$17:$H159)</f>
        <v>1423.0974802243</v>
      </c>
    </row>
    <row r="160" hidden="1" spans="1:10">
      <c r="A160" s="154">
        <v>143</v>
      </c>
      <c r="B160" s="155">
        <f ca="1" t="shared" si="17"/>
        <v>54970</v>
      </c>
      <c r="C160" s="156">
        <f t="shared" si="21"/>
        <v>0</v>
      </c>
      <c r="D160" s="156">
        <f t="shared" si="24"/>
        <v>3570.51624670405</v>
      </c>
      <c r="E160" s="156">
        <f t="shared" si="18"/>
        <v>0</v>
      </c>
      <c r="F160" s="156">
        <f t="shared" si="19"/>
        <v>0</v>
      </c>
      <c r="G160" s="156">
        <f t="shared" si="22"/>
        <v>0</v>
      </c>
      <c r="H160" s="156">
        <f t="shared" si="23"/>
        <v>0</v>
      </c>
      <c r="I160" s="156">
        <f t="shared" si="20"/>
        <v>0</v>
      </c>
      <c r="J160" s="156">
        <f>SUM($H$17:$H160)</f>
        <v>1423.0974802243</v>
      </c>
    </row>
    <row r="161" hidden="1" spans="1:10">
      <c r="A161" s="154">
        <v>144</v>
      </c>
      <c r="B161" s="155">
        <f ca="1" t="shared" si="17"/>
        <v>55032</v>
      </c>
      <c r="C161" s="156">
        <f t="shared" si="21"/>
        <v>0</v>
      </c>
      <c r="D161" s="156">
        <f t="shared" si="24"/>
        <v>3570.51624670405</v>
      </c>
      <c r="E161" s="156">
        <f t="shared" si="18"/>
        <v>0</v>
      </c>
      <c r="F161" s="156">
        <f t="shared" si="19"/>
        <v>0</v>
      </c>
      <c r="G161" s="156">
        <f t="shared" si="22"/>
        <v>0</v>
      </c>
      <c r="H161" s="156">
        <f t="shared" si="23"/>
        <v>0</v>
      </c>
      <c r="I161" s="156">
        <f t="shared" si="20"/>
        <v>0</v>
      </c>
      <c r="J161" s="156">
        <f>SUM($H$17:$H161)</f>
        <v>1423.0974802243</v>
      </c>
    </row>
    <row r="162" hidden="1" spans="1:10">
      <c r="A162" s="154">
        <v>145</v>
      </c>
      <c r="B162" s="155">
        <f ca="1" t="shared" si="17"/>
        <v>55093</v>
      </c>
      <c r="C162" s="156">
        <f t="shared" si="21"/>
        <v>0</v>
      </c>
      <c r="D162" s="156">
        <f t="shared" si="24"/>
        <v>3570.51624670405</v>
      </c>
      <c r="E162" s="156">
        <f t="shared" si="18"/>
        <v>0</v>
      </c>
      <c r="F162" s="156">
        <f t="shared" si="19"/>
        <v>0</v>
      </c>
      <c r="G162" s="156">
        <f t="shared" si="22"/>
        <v>0</v>
      </c>
      <c r="H162" s="156">
        <f t="shared" si="23"/>
        <v>0</v>
      </c>
      <c r="I162" s="156">
        <f t="shared" si="20"/>
        <v>0</v>
      </c>
      <c r="J162" s="156">
        <f>SUM($H$17:$H162)</f>
        <v>1423.0974802243</v>
      </c>
    </row>
    <row r="163" hidden="1" spans="1:10">
      <c r="A163" s="154">
        <v>146</v>
      </c>
      <c r="B163" s="155">
        <f ca="1" t="shared" si="17"/>
        <v>55154</v>
      </c>
      <c r="C163" s="156">
        <f t="shared" si="21"/>
        <v>0</v>
      </c>
      <c r="D163" s="156">
        <f t="shared" si="24"/>
        <v>3570.51624670405</v>
      </c>
      <c r="E163" s="156">
        <f t="shared" si="18"/>
        <v>0</v>
      </c>
      <c r="F163" s="156">
        <f t="shared" si="19"/>
        <v>0</v>
      </c>
      <c r="G163" s="156">
        <f t="shared" si="22"/>
        <v>0</v>
      </c>
      <c r="H163" s="156">
        <f t="shared" si="23"/>
        <v>0</v>
      </c>
      <c r="I163" s="156">
        <f t="shared" si="20"/>
        <v>0</v>
      </c>
      <c r="J163" s="156">
        <f>SUM($H$17:$H163)</f>
        <v>1423.0974802243</v>
      </c>
    </row>
    <row r="164" hidden="1" spans="1:10">
      <c r="A164" s="154">
        <v>147</v>
      </c>
      <c r="B164" s="155">
        <f ca="1" t="shared" si="17"/>
        <v>55213</v>
      </c>
      <c r="C164" s="156">
        <f t="shared" si="21"/>
        <v>0</v>
      </c>
      <c r="D164" s="156">
        <f t="shared" si="24"/>
        <v>3570.51624670405</v>
      </c>
      <c r="E164" s="156">
        <f t="shared" si="18"/>
        <v>0</v>
      </c>
      <c r="F164" s="156">
        <f t="shared" si="19"/>
        <v>0</v>
      </c>
      <c r="G164" s="156">
        <f t="shared" si="22"/>
        <v>0</v>
      </c>
      <c r="H164" s="156">
        <f t="shared" si="23"/>
        <v>0</v>
      </c>
      <c r="I164" s="156">
        <f t="shared" si="20"/>
        <v>0</v>
      </c>
      <c r="J164" s="156">
        <f>SUM($H$17:$H164)</f>
        <v>1423.0974802243</v>
      </c>
    </row>
    <row r="165" hidden="1" spans="1:10">
      <c r="A165" s="154">
        <v>148</v>
      </c>
      <c r="B165" s="155">
        <f ca="1" t="shared" si="17"/>
        <v>55274</v>
      </c>
      <c r="C165" s="156">
        <f t="shared" si="21"/>
        <v>0</v>
      </c>
      <c r="D165" s="156">
        <f t="shared" si="24"/>
        <v>3570.51624670405</v>
      </c>
      <c r="E165" s="156">
        <f t="shared" si="18"/>
        <v>0</v>
      </c>
      <c r="F165" s="156">
        <f t="shared" si="19"/>
        <v>0</v>
      </c>
      <c r="G165" s="156">
        <f t="shared" si="22"/>
        <v>0</v>
      </c>
      <c r="H165" s="156">
        <f t="shared" si="23"/>
        <v>0</v>
      </c>
      <c r="I165" s="156">
        <f t="shared" si="20"/>
        <v>0</v>
      </c>
      <c r="J165" s="156">
        <f>SUM($H$17:$H165)</f>
        <v>1423.0974802243</v>
      </c>
    </row>
    <row r="166" hidden="1" spans="1:10">
      <c r="A166" s="154">
        <v>149</v>
      </c>
      <c r="B166" s="155">
        <f ca="1" t="shared" si="17"/>
        <v>55335</v>
      </c>
      <c r="C166" s="156">
        <f t="shared" si="21"/>
        <v>0</v>
      </c>
      <c r="D166" s="156">
        <f t="shared" si="24"/>
        <v>3570.51624670405</v>
      </c>
      <c r="E166" s="156">
        <f t="shared" si="18"/>
        <v>0</v>
      </c>
      <c r="F166" s="156">
        <f t="shared" si="19"/>
        <v>0</v>
      </c>
      <c r="G166" s="156">
        <f t="shared" si="22"/>
        <v>0</v>
      </c>
      <c r="H166" s="156">
        <f t="shared" si="23"/>
        <v>0</v>
      </c>
      <c r="I166" s="156">
        <f t="shared" si="20"/>
        <v>0</v>
      </c>
      <c r="J166" s="156">
        <f>SUM($H$17:$H166)</f>
        <v>1423.0974802243</v>
      </c>
    </row>
    <row r="167" hidden="1" spans="1:10">
      <c r="A167" s="154">
        <v>150</v>
      </c>
      <c r="B167" s="155">
        <f ca="1" t="shared" si="17"/>
        <v>55397</v>
      </c>
      <c r="C167" s="156">
        <f t="shared" si="21"/>
        <v>0</v>
      </c>
      <c r="D167" s="156">
        <f t="shared" si="24"/>
        <v>3570.51624670405</v>
      </c>
      <c r="E167" s="156">
        <f t="shared" si="18"/>
        <v>0</v>
      </c>
      <c r="F167" s="156">
        <f t="shared" si="19"/>
        <v>0</v>
      </c>
      <c r="G167" s="156">
        <f t="shared" si="22"/>
        <v>0</v>
      </c>
      <c r="H167" s="156">
        <f t="shared" si="23"/>
        <v>0</v>
      </c>
      <c r="I167" s="156">
        <f t="shared" si="20"/>
        <v>0</v>
      </c>
      <c r="J167" s="156">
        <f>SUM($H$17:$H167)</f>
        <v>1423.0974802243</v>
      </c>
    </row>
    <row r="168" hidden="1" spans="1:10">
      <c r="A168" s="154">
        <v>151</v>
      </c>
      <c r="B168" s="155">
        <f ca="1" t="shared" si="17"/>
        <v>55458</v>
      </c>
      <c r="C168" s="156">
        <f t="shared" si="21"/>
        <v>0</v>
      </c>
      <c r="D168" s="156">
        <f t="shared" si="24"/>
        <v>3570.51624670405</v>
      </c>
      <c r="E168" s="156">
        <f t="shared" si="18"/>
        <v>0</v>
      </c>
      <c r="F168" s="156">
        <f t="shared" si="19"/>
        <v>0</v>
      </c>
      <c r="G168" s="156">
        <f t="shared" si="22"/>
        <v>0</v>
      </c>
      <c r="H168" s="156">
        <f t="shared" si="23"/>
        <v>0</v>
      </c>
      <c r="I168" s="156">
        <f t="shared" si="20"/>
        <v>0</v>
      </c>
      <c r="J168" s="156">
        <f>SUM($H$17:$H168)</f>
        <v>1423.0974802243</v>
      </c>
    </row>
    <row r="169" hidden="1" spans="1:10">
      <c r="A169" s="154">
        <v>152</v>
      </c>
      <c r="B169" s="155">
        <f ca="1" t="shared" si="17"/>
        <v>55519</v>
      </c>
      <c r="C169" s="156">
        <f t="shared" si="21"/>
        <v>0</v>
      </c>
      <c r="D169" s="156">
        <f t="shared" si="24"/>
        <v>3570.51624670405</v>
      </c>
      <c r="E169" s="156">
        <f t="shared" si="18"/>
        <v>0</v>
      </c>
      <c r="F169" s="156">
        <f t="shared" si="19"/>
        <v>0</v>
      </c>
      <c r="G169" s="156">
        <f t="shared" si="22"/>
        <v>0</v>
      </c>
      <c r="H169" s="156">
        <f t="shared" si="23"/>
        <v>0</v>
      </c>
      <c r="I169" s="156">
        <f t="shared" si="20"/>
        <v>0</v>
      </c>
      <c r="J169" s="156">
        <f>SUM($H$17:$H169)</f>
        <v>1423.0974802243</v>
      </c>
    </row>
    <row r="170" hidden="1" spans="1:10">
      <c r="A170" s="154">
        <v>153</v>
      </c>
      <c r="B170" s="155">
        <f ca="1" t="shared" si="17"/>
        <v>55579</v>
      </c>
      <c r="C170" s="156">
        <f t="shared" si="21"/>
        <v>0</v>
      </c>
      <c r="D170" s="156">
        <f t="shared" si="24"/>
        <v>3570.51624670405</v>
      </c>
      <c r="E170" s="156">
        <f t="shared" si="18"/>
        <v>0</v>
      </c>
      <c r="F170" s="156">
        <f t="shared" si="19"/>
        <v>0</v>
      </c>
      <c r="G170" s="156">
        <f t="shared" si="22"/>
        <v>0</v>
      </c>
      <c r="H170" s="156">
        <f t="shared" si="23"/>
        <v>0</v>
      </c>
      <c r="I170" s="156">
        <f t="shared" si="20"/>
        <v>0</v>
      </c>
      <c r="J170" s="156">
        <f>SUM($H$17:$H170)</f>
        <v>1423.0974802243</v>
      </c>
    </row>
    <row r="171" hidden="1" spans="1:10">
      <c r="A171" s="154">
        <v>154</v>
      </c>
      <c r="B171" s="155">
        <f ca="1" t="shared" si="17"/>
        <v>55640</v>
      </c>
      <c r="C171" s="156">
        <f t="shared" si="21"/>
        <v>0</v>
      </c>
      <c r="D171" s="156">
        <f t="shared" si="24"/>
        <v>3570.51624670405</v>
      </c>
      <c r="E171" s="156">
        <f t="shared" si="18"/>
        <v>0</v>
      </c>
      <c r="F171" s="156">
        <f t="shared" si="19"/>
        <v>0</v>
      </c>
      <c r="G171" s="156">
        <f t="shared" si="22"/>
        <v>0</v>
      </c>
      <c r="H171" s="156">
        <f t="shared" si="23"/>
        <v>0</v>
      </c>
      <c r="I171" s="156">
        <f t="shared" si="20"/>
        <v>0</v>
      </c>
      <c r="J171" s="156">
        <f>SUM($H$17:$H171)</f>
        <v>1423.0974802243</v>
      </c>
    </row>
    <row r="172" hidden="1" spans="1:10">
      <c r="A172" s="154">
        <v>155</v>
      </c>
      <c r="B172" s="155">
        <f ca="1" t="shared" si="17"/>
        <v>55701</v>
      </c>
      <c r="C172" s="156">
        <f t="shared" si="21"/>
        <v>0</v>
      </c>
      <c r="D172" s="156">
        <f t="shared" si="24"/>
        <v>3570.51624670405</v>
      </c>
      <c r="E172" s="156">
        <f t="shared" si="18"/>
        <v>0</v>
      </c>
      <c r="F172" s="156">
        <f t="shared" si="19"/>
        <v>0</v>
      </c>
      <c r="G172" s="156">
        <f t="shared" si="22"/>
        <v>0</v>
      </c>
      <c r="H172" s="156">
        <f t="shared" si="23"/>
        <v>0</v>
      </c>
      <c r="I172" s="156">
        <f t="shared" si="20"/>
        <v>0</v>
      </c>
      <c r="J172" s="156">
        <f>SUM($H$17:$H172)</f>
        <v>1423.0974802243</v>
      </c>
    </row>
    <row r="173" hidden="1" spans="1:10">
      <c r="A173" s="154">
        <v>156</v>
      </c>
      <c r="B173" s="155">
        <f ca="1" t="shared" si="17"/>
        <v>55763</v>
      </c>
      <c r="C173" s="156">
        <f t="shared" si="21"/>
        <v>0</v>
      </c>
      <c r="D173" s="156">
        <f t="shared" si="24"/>
        <v>3570.51624670405</v>
      </c>
      <c r="E173" s="156">
        <f t="shared" si="18"/>
        <v>0</v>
      </c>
      <c r="F173" s="156">
        <f t="shared" si="19"/>
        <v>0</v>
      </c>
      <c r="G173" s="156">
        <f t="shared" si="22"/>
        <v>0</v>
      </c>
      <c r="H173" s="156">
        <f t="shared" si="23"/>
        <v>0</v>
      </c>
      <c r="I173" s="156">
        <f t="shared" si="20"/>
        <v>0</v>
      </c>
      <c r="J173" s="156">
        <f>SUM($H$17:$H173)</f>
        <v>1423.0974802243</v>
      </c>
    </row>
    <row r="174" hidden="1" spans="1:10">
      <c r="A174" s="154">
        <v>157</v>
      </c>
      <c r="B174" s="155">
        <f ca="1" t="shared" si="17"/>
        <v>55824</v>
      </c>
      <c r="C174" s="156">
        <f t="shared" si="21"/>
        <v>0</v>
      </c>
      <c r="D174" s="156">
        <f t="shared" si="24"/>
        <v>3570.51624670405</v>
      </c>
      <c r="E174" s="156">
        <f t="shared" si="18"/>
        <v>0</v>
      </c>
      <c r="F174" s="156">
        <f t="shared" si="19"/>
        <v>0</v>
      </c>
      <c r="G174" s="156">
        <f t="shared" si="22"/>
        <v>0</v>
      </c>
      <c r="H174" s="156">
        <f t="shared" si="23"/>
        <v>0</v>
      </c>
      <c r="I174" s="156">
        <f t="shared" si="20"/>
        <v>0</v>
      </c>
      <c r="J174" s="156">
        <f>SUM($H$17:$H174)</f>
        <v>1423.0974802243</v>
      </c>
    </row>
    <row r="175" hidden="1" spans="1:10">
      <c r="A175" s="154">
        <v>158</v>
      </c>
      <c r="B175" s="155">
        <f ca="1" t="shared" si="17"/>
        <v>55885</v>
      </c>
      <c r="C175" s="156">
        <f t="shared" si="21"/>
        <v>0</v>
      </c>
      <c r="D175" s="156">
        <f t="shared" si="24"/>
        <v>3570.51624670405</v>
      </c>
      <c r="E175" s="156">
        <f t="shared" si="18"/>
        <v>0</v>
      </c>
      <c r="F175" s="156">
        <f t="shared" si="19"/>
        <v>0</v>
      </c>
      <c r="G175" s="156">
        <f t="shared" si="22"/>
        <v>0</v>
      </c>
      <c r="H175" s="156">
        <f t="shared" si="23"/>
        <v>0</v>
      </c>
      <c r="I175" s="156">
        <f t="shared" si="20"/>
        <v>0</v>
      </c>
      <c r="J175" s="156">
        <f>SUM($H$17:$H175)</f>
        <v>1423.0974802243</v>
      </c>
    </row>
    <row r="176" hidden="1" spans="1:10">
      <c r="A176" s="154">
        <v>159</v>
      </c>
      <c r="B176" s="155">
        <f ca="1" t="shared" si="17"/>
        <v>55944</v>
      </c>
      <c r="C176" s="156">
        <f t="shared" si="21"/>
        <v>0</v>
      </c>
      <c r="D176" s="156">
        <f t="shared" si="24"/>
        <v>3570.51624670405</v>
      </c>
      <c r="E176" s="156">
        <f t="shared" si="18"/>
        <v>0</v>
      </c>
      <c r="F176" s="156">
        <f t="shared" si="19"/>
        <v>0</v>
      </c>
      <c r="G176" s="156">
        <f t="shared" si="22"/>
        <v>0</v>
      </c>
      <c r="H176" s="156">
        <f t="shared" si="23"/>
        <v>0</v>
      </c>
      <c r="I176" s="156">
        <f t="shared" si="20"/>
        <v>0</v>
      </c>
      <c r="J176" s="156">
        <f>SUM($H$17:$H176)</f>
        <v>1423.0974802243</v>
      </c>
    </row>
    <row r="177" hidden="1" spans="1:10">
      <c r="A177" s="154">
        <v>160</v>
      </c>
      <c r="B177" s="155">
        <f ca="1" t="shared" si="17"/>
        <v>56005</v>
      </c>
      <c r="C177" s="156">
        <f t="shared" si="21"/>
        <v>0</v>
      </c>
      <c r="D177" s="156">
        <f t="shared" si="24"/>
        <v>3570.51624670405</v>
      </c>
      <c r="E177" s="156">
        <f t="shared" si="18"/>
        <v>0</v>
      </c>
      <c r="F177" s="156">
        <f t="shared" si="19"/>
        <v>0</v>
      </c>
      <c r="G177" s="156">
        <f t="shared" si="22"/>
        <v>0</v>
      </c>
      <c r="H177" s="156">
        <f t="shared" si="23"/>
        <v>0</v>
      </c>
      <c r="I177" s="156">
        <f t="shared" si="20"/>
        <v>0</v>
      </c>
      <c r="J177" s="156">
        <f>SUM($H$17:$H177)</f>
        <v>1423.0974802243</v>
      </c>
    </row>
    <row r="178" hidden="1" spans="1:10">
      <c r="A178" s="154">
        <v>161</v>
      </c>
      <c r="B178" s="155">
        <f ca="1" t="shared" si="17"/>
        <v>56066</v>
      </c>
      <c r="C178" s="156">
        <f t="shared" si="21"/>
        <v>0</v>
      </c>
      <c r="D178" s="156">
        <f t="shared" si="24"/>
        <v>3570.51624670405</v>
      </c>
      <c r="E178" s="156">
        <f t="shared" si="18"/>
        <v>0</v>
      </c>
      <c r="F178" s="156">
        <f t="shared" si="19"/>
        <v>0</v>
      </c>
      <c r="G178" s="156">
        <f t="shared" si="22"/>
        <v>0</v>
      </c>
      <c r="H178" s="156">
        <f t="shared" si="23"/>
        <v>0</v>
      </c>
      <c r="I178" s="156">
        <f t="shared" si="20"/>
        <v>0</v>
      </c>
      <c r="J178" s="156">
        <f>SUM($H$17:$H178)</f>
        <v>1423.0974802243</v>
      </c>
    </row>
    <row r="179" hidden="1" spans="1:10">
      <c r="A179" s="154">
        <v>162</v>
      </c>
      <c r="B179" s="155">
        <f ca="1" t="shared" si="17"/>
        <v>56128</v>
      </c>
      <c r="C179" s="156">
        <f t="shared" si="21"/>
        <v>0</v>
      </c>
      <c r="D179" s="156">
        <f t="shared" si="24"/>
        <v>3570.51624670405</v>
      </c>
      <c r="E179" s="156">
        <f t="shared" si="18"/>
        <v>0</v>
      </c>
      <c r="F179" s="156">
        <f t="shared" si="19"/>
        <v>0</v>
      </c>
      <c r="G179" s="156">
        <f t="shared" si="22"/>
        <v>0</v>
      </c>
      <c r="H179" s="156">
        <f t="shared" si="23"/>
        <v>0</v>
      </c>
      <c r="I179" s="156">
        <f t="shared" si="20"/>
        <v>0</v>
      </c>
      <c r="J179" s="156">
        <f>SUM($H$17:$H179)</f>
        <v>1423.0974802243</v>
      </c>
    </row>
    <row r="180" hidden="1" spans="1:10">
      <c r="A180" s="154">
        <v>163</v>
      </c>
      <c r="B180" s="155">
        <f ca="1" t="shared" si="17"/>
        <v>56189</v>
      </c>
      <c r="C180" s="156">
        <f t="shared" si="21"/>
        <v>0</v>
      </c>
      <c r="D180" s="156">
        <f t="shared" si="24"/>
        <v>3570.51624670405</v>
      </c>
      <c r="E180" s="156">
        <f t="shared" si="18"/>
        <v>0</v>
      </c>
      <c r="F180" s="156">
        <f t="shared" si="19"/>
        <v>0</v>
      </c>
      <c r="G180" s="156">
        <f t="shared" si="22"/>
        <v>0</v>
      </c>
      <c r="H180" s="156">
        <f t="shared" si="23"/>
        <v>0</v>
      </c>
      <c r="I180" s="156">
        <f t="shared" si="20"/>
        <v>0</v>
      </c>
      <c r="J180" s="156">
        <f>SUM($H$17:$H180)</f>
        <v>1423.0974802243</v>
      </c>
    </row>
    <row r="181" hidden="1" spans="1:10">
      <c r="A181" s="154">
        <v>164</v>
      </c>
      <c r="B181" s="155">
        <f ca="1" t="shared" si="17"/>
        <v>56250</v>
      </c>
      <c r="C181" s="156">
        <f t="shared" si="21"/>
        <v>0</v>
      </c>
      <c r="D181" s="156">
        <f t="shared" si="24"/>
        <v>3570.51624670405</v>
      </c>
      <c r="E181" s="156">
        <f t="shared" si="18"/>
        <v>0</v>
      </c>
      <c r="F181" s="156">
        <f t="shared" si="19"/>
        <v>0</v>
      </c>
      <c r="G181" s="156">
        <f t="shared" si="22"/>
        <v>0</v>
      </c>
      <c r="H181" s="156">
        <f t="shared" si="23"/>
        <v>0</v>
      </c>
      <c r="I181" s="156">
        <f t="shared" si="20"/>
        <v>0</v>
      </c>
      <c r="J181" s="156">
        <f>SUM($H$17:$H181)</f>
        <v>1423.0974802243</v>
      </c>
    </row>
    <row r="182" hidden="1" spans="1:10">
      <c r="A182" s="154">
        <v>165</v>
      </c>
      <c r="B182" s="155">
        <f ca="1" t="shared" si="17"/>
        <v>56309</v>
      </c>
      <c r="C182" s="156">
        <f t="shared" si="21"/>
        <v>0</v>
      </c>
      <c r="D182" s="156">
        <f t="shared" si="24"/>
        <v>3570.51624670405</v>
      </c>
      <c r="E182" s="156">
        <f t="shared" si="18"/>
        <v>0</v>
      </c>
      <c r="F182" s="156">
        <f t="shared" si="19"/>
        <v>0</v>
      </c>
      <c r="G182" s="156">
        <f t="shared" si="22"/>
        <v>0</v>
      </c>
      <c r="H182" s="156">
        <f t="shared" si="23"/>
        <v>0</v>
      </c>
      <c r="I182" s="156">
        <f t="shared" si="20"/>
        <v>0</v>
      </c>
      <c r="J182" s="156">
        <f>SUM($H$17:$H182)</f>
        <v>1423.0974802243</v>
      </c>
    </row>
    <row r="183" hidden="1" spans="1:10">
      <c r="A183" s="154">
        <v>166</v>
      </c>
      <c r="B183" s="155">
        <f ca="1" t="shared" si="17"/>
        <v>56370</v>
      </c>
      <c r="C183" s="156">
        <f t="shared" si="21"/>
        <v>0</v>
      </c>
      <c r="D183" s="156">
        <f t="shared" si="24"/>
        <v>3570.51624670405</v>
      </c>
      <c r="E183" s="156">
        <f t="shared" si="18"/>
        <v>0</v>
      </c>
      <c r="F183" s="156">
        <f t="shared" si="19"/>
        <v>0</v>
      </c>
      <c r="G183" s="156">
        <f t="shared" si="22"/>
        <v>0</v>
      </c>
      <c r="H183" s="156">
        <f t="shared" si="23"/>
        <v>0</v>
      </c>
      <c r="I183" s="156">
        <f t="shared" si="20"/>
        <v>0</v>
      </c>
      <c r="J183" s="156">
        <f>SUM($H$17:$H183)</f>
        <v>1423.0974802243</v>
      </c>
    </row>
    <row r="184" hidden="1" spans="1:10">
      <c r="A184" s="154">
        <v>167</v>
      </c>
      <c r="B184" s="155">
        <f ca="1" t="shared" si="17"/>
        <v>56431</v>
      </c>
      <c r="C184" s="156">
        <f t="shared" si="21"/>
        <v>0</v>
      </c>
      <c r="D184" s="156">
        <f t="shared" si="24"/>
        <v>3570.51624670405</v>
      </c>
      <c r="E184" s="156">
        <f t="shared" si="18"/>
        <v>0</v>
      </c>
      <c r="F184" s="156">
        <f t="shared" si="19"/>
        <v>0</v>
      </c>
      <c r="G184" s="156">
        <f t="shared" si="22"/>
        <v>0</v>
      </c>
      <c r="H184" s="156">
        <f t="shared" si="23"/>
        <v>0</v>
      </c>
      <c r="I184" s="156">
        <f t="shared" si="20"/>
        <v>0</v>
      </c>
      <c r="J184" s="156">
        <f>SUM($H$17:$H184)</f>
        <v>1423.0974802243</v>
      </c>
    </row>
    <row r="185" hidden="1" spans="1:10">
      <c r="A185" s="154">
        <v>168</v>
      </c>
      <c r="B185" s="155">
        <f ca="1" t="shared" si="17"/>
        <v>56493</v>
      </c>
      <c r="C185" s="156">
        <f t="shared" si="21"/>
        <v>0</v>
      </c>
      <c r="D185" s="156">
        <f t="shared" si="24"/>
        <v>3570.51624670405</v>
      </c>
      <c r="E185" s="156">
        <f t="shared" si="18"/>
        <v>0</v>
      </c>
      <c r="F185" s="156">
        <f t="shared" si="19"/>
        <v>0</v>
      </c>
      <c r="G185" s="156">
        <f t="shared" si="22"/>
        <v>0</v>
      </c>
      <c r="H185" s="156">
        <f t="shared" si="23"/>
        <v>0</v>
      </c>
      <c r="I185" s="156">
        <f t="shared" si="20"/>
        <v>0</v>
      </c>
      <c r="J185" s="156">
        <f>SUM($H$17:$H185)</f>
        <v>1423.0974802243</v>
      </c>
    </row>
    <row r="186" hidden="1" spans="1:10">
      <c r="A186" s="154">
        <v>169</v>
      </c>
      <c r="B186" s="155">
        <f ca="1" t="shared" si="17"/>
        <v>56554</v>
      </c>
      <c r="C186" s="156">
        <f t="shared" si="21"/>
        <v>0</v>
      </c>
      <c r="D186" s="156">
        <f t="shared" si="24"/>
        <v>3570.51624670405</v>
      </c>
      <c r="E186" s="156">
        <f t="shared" si="18"/>
        <v>0</v>
      </c>
      <c r="F186" s="156">
        <f t="shared" si="19"/>
        <v>0</v>
      </c>
      <c r="G186" s="156">
        <f t="shared" si="22"/>
        <v>0</v>
      </c>
      <c r="H186" s="156">
        <f t="shared" si="23"/>
        <v>0</v>
      </c>
      <c r="I186" s="156">
        <f t="shared" si="20"/>
        <v>0</v>
      </c>
      <c r="J186" s="156">
        <f>SUM($H$17:$H186)</f>
        <v>1423.0974802243</v>
      </c>
    </row>
    <row r="187" hidden="1" spans="1:10">
      <c r="A187" s="154">
        <v>170</v>
      </c>
      <c r="B187" s="155">
        <f ca="1" t="shared" si="17"/>
        <v>56615</v>
      </c>
      <c r="C187" s="156">
        <f t="shared" si="21"/>
        <v>0</v>
      </c>
      <c r="D187" s="156">
        <f t="shared" si="24"/>
        <v>3570.51624670405</v>
      </c>
      <c r="E187" s="156">
        <f t="shared" si="18"/>
        <v>0</v>
      </c>
      <c r="F187" s="156">
        <f t="shared" si="19"/>
        <v>0</v>
      </c>
      <c r="G187" s="156">
        <f t="shared" si="22"/>
        <v>0</v>
      </c>
      <c r="H187" s="156">
        <f t="shared" si="23"/>
        <v>0</v>
      </c>
      <c r="I187" s="156">
        <f t="shared" si="20"/>
        <v>0</v>
      </c>
      <c r="J187" s="156">
        <f>SUM($H$17:$H187)</f>
        <v>1423.0974802243</v>
      </c>
    </row>
    <row r="188" hidden="1" spans="1:10">
      <c r="A188" s="154">
        <v>171</v>
      </c>
      <c r="B188" s="155">
        <f ca="1" t="shared" si="17"/>
        <v>56674</v>
      </c>
      <c r="C188" s="156">
        <f t="shared" si="21"/>
        <v>0</v>
      </c>
      <c r="D188" s="156">
        <f t="shared" si="24"/>
        <v>3570.51624670405</v>
      </c>
      <c r="E188" s="156">
        <f t="shared" si="18"/>
        <v>0</v>
      </c>
      <c r="F188" s="156">
        <f t="shared" si="19"/>
        <v>0</v>
      </c>
      <c r="G188" s="156">
        <f t="shared" si="22"/>
        <v>0</v>
      </c>
      <c r="H188" s="156">
        <f t="shared" si="23"/>
        <v>0</v>
      </c>
      <c r="I188" s="156">
        <f t="shared" si="20"/>
        <v>0</v>
      </c>
      <c r="J188" s="156">
        <f>SUM($H$17:$H188)</f>
        <v>1423.0974802243</v>
      </c>
    </row>
    <row r="189" hidden="1" spans="1:10">
      <c r="A189" s="154">
        <v>172</v>
      </c>
      <c r="B189" s="155">
        <f ca="1" t="shared" si="17"/>
        <v>56735</v>
      </c>
      <c r="C189" s="156">
        <f t="shared" si="21"/>
        <v>0</v>
      </c>
      <c r="D189" s="156">
        <f t="shared" si="24"/>
        <v>3570.51624670405</v>
      </c>
      <c r="E189" s="156">
        <f t="shared" si="18"/>
        <v>0</v>
      </c>
      <c r="F189" s="156">
        <f t="shared" si="19"/>
        <v>0</v>
      </c>
      <c r="G189" s="156">
        <f t="shared" si="22"/>
        <v>0</v>
      </c>
      <c r="H189" s="156">
        <f t="shared" si="23"/>
        <v>0</v>
      </c>
      <c r="I189" s="156">
        <f t="shared" si="20"/>
        <v>0</v>
      </c>
      <c r="J189" s="156">
        <f>SUM($H$17:$H189)</f>
        <v>1423.0974802243</v>
      </c>
    </row>
    <row r="190" hidden="1" spans="1:10">
      <c r="A190" s="154">
        <v>173</v>
      </c>
      <c r="B190" s="155">
        <f ca="1" t="shared" si="17"/>
        <v>56796</v>
      </c>
      <c r="C190" s="156">
        <f t="shared" si="21"/>
        <v>0</v>
      </c>
      <c r="D190" s="156">
        <f t="shared" si="24"/>
        <v>3570.51624670405</v>
      </c>
      <c r="E190" s="156">
        <f t="shared" si="18"/>
        <v>0</v>
      </c>
      <c r="F190" s="156">
        <f t="shared" si="19"/>
        <v>0</v>
      </c>
      <c r="G190" s="156">
        <f t="shared" si="22"/>
        <v>0</v>
      </c>
      <c r="H190" s="156">
        <f t="shared" si="23"/>
        <v>0</v>
      </c>
      <c r="I190" s="156">
        <f t="shared" si="20"/>
        <v>0</v>
      </c>
      <c r="J190" s="156">
        <f>SUM($H$17:$H190)</f>
        <v>1423.0974802243</v>
      </c>
    </row>
    <row r="191" hidden="1" spans="1:10">
      <c r="A191" s="154">
        <v>174</v>
      </c>
      <c r="B191" s="155">
        <f ca="1" t="shared" si="17"/>
        <v>56858</v>
      </c>
      <c r="C191" s="156">
        <f t="shared" si="21"/>
        <v>0</v>
      </c>
      <c r="D191" s="156">
        <f t="shared" si="24"/>
        <v>3570.51624670405</v>
      </c>
      <c r="E191" s="156">
        <f t="shared" si="18"/>
        <v>0</v>
      </c>
      <c r="F191" s="156">
        <f t="shared" si="19"/>
        <v>0</v>
      </c>
      <c r="G191" s="156">
        <f t="shared" si="22"/>
        <v>0</v>
      </c>
      <c r="H191" s="156">
        <f t="shared" si="23"/>
        <v>0</v>
      </c>
      <c r="I191" s="156">
        <f t="shared" si="20"/>
        <v>0</v>
      </c>
      <c r="J191" s="156">
        <f>SUM($H$17:$H191)</f>
        <v>1423.0974802243</v>
      </c>
    </row>
    <row r="192" hidden="1" spans="1:10">
      <c r="A192" s="154">
        <v>175</v>
      </c>
      <c r="B192" s="155">
        <f ca="1" t="shared" si="17"/>
        <v>56919</v>
      </c>
      <c r="C192" s="156">
        <f t="shared" si="21"/>
        <v>0</v>
      </c>
      <c r="D192" s="156">
        <f t="shared" si="24"/>
        <v>3570.51624670405</v>
      </c>
      <c r="E192" s="156">
        <f t="shared" si="18"/>
        <v>0</v>
      </c>
      <c r="F192" s="156">
        <f t="shared" si="19"/>
        <v>0</v>
      </c>
      <c r="G192" s="156">
        <f t="shared" si="22"/>
        <v>0</v>
      </c>
      <c r="H192" s="156">
        <f t="shared" si="23"/>
        <v>0</v>
      </c>
      <c r="I192" s="156">
        <f t="shared" si="20"/>
        <v>0</v>
      </c>
      <c r="J192" s="156">
        <f>SUM($H$17:$H192)</f>
        <v>1423.0974802243</v>
      </c>
    </row>
    <row r="193" hidden="1" spans="1:10">
      <c r="A193" s="154">
        <v>176</v>
      </c>
      <c r="B193" s="155">
        <f ca="1" t="shared" si="17"/>
        <v>56980</v>
      </c>
      <c r="C193" s="156">
        <f t="shared" si="21"/>
        <v>0</v>
      </c>
      <c r="D193" s="156">
        <f t="shared" si="24"/>
        <v>3570.51624670405</v>
      </c>
      <c r="E193" s="156">
        <f t="shared" si="18"/>
        <v>0</v>
      </c>
      <c r="F193" s="156">
        <f t="shared" si="19"/>
        <v>0</v>
      </c>
      <c r="G193" s="156">
        <f t="shared" si="22"/>
        <v>0</v>
      </c>
      <c r="H193" s="156">
        <f t="shared" si="23"/>
        <v>0</v>
      </c>
      <c r="I193" s="156">
        <f t="shared" si="20"/>
        <v>0</v>
      </c>
      <c r="J193" s="156">
        <f>SUM($H$17:$H193)</f>
        <v>1423.0974802243</v>
      </c>
    </row>
    <row r="194" hidden="1" spans="1:10">
      <c r="A194" s="154">
        <v>177</v>
      </c>
      <c r="B194" s="155">
        <f ca="1" t="shared" si="17"/>
        <v>57040</v>
      </c>
      <c r="C194" s="156">
        <f t="shared" si="21"/>
        <v>0</v>
      </c>
      <c r="D194" s="156">
        <f t="shared" si="24"/>
        <v>3570.51624670405</v>
      </c>
      <c r="E194" s="156">
        <f t="shared" si="18"/>
        <v>0</v>
      </c>
      <c r="F194" s="156">
        <f t="shared" si="19"/>
        <v>0</v>
      </c>
      <c r="G194" s="156">
        <f t="shared" si="22"/>
        <v>0</v>
      </c>
      <c r="H194" s="156">
        <f t="shared" si="23"/>
        <v>0</v>
      </c>
      <c r="I194" s="156">
        <f t="shared" si="20"/>
        <v>0</v>
      </c>
      <c r="J194" s="156">
        <f>SUM($H$17:$H194)</f>
        <v>1423.0974802243</v>
      </c>
    </row>
    <row r="195" hidden="1" spans="1:10">
      <c r="A195" s="154">
        <v>178</v>
      </c>
      <c r="B195" s="155">
        <f ca="1" t="shared" si="17"/>
        <v>57101</v>
      </c>
      <c r="C195" s="156">
        <f t="shared" si="21"/>
        <v>0</v>
      </c>
      <c r="D195" s="156">
        <f t="shared" si="24"/>
        <v>3570.51624670405</v>
      </c>
      <c r="E195" s="156">
        <f t="shared" si="18"/>
        <v>0</v>
      </c>
      <c r="F195" s="156">
        <f t="shared" si="19"/>
        <v>0</v>
      </c>
      <c r="G195" s="156">
        <f t="shared" si="22"/>
        <v>0</v>
      </c>
      <c r="H195" s="156">
        <f t="shared" si="23"/>
        <v>0</v>
      </c>
      <c r="I195" s="156">
        <f t="shared" si="20"/>
        <v>0</v>
      </c>
      <c r="J195" s="156">
        <f>SUM($H$17:$H195)</f>
        <v>1423.0974802243</v>
      </c>
    </row>
    <row r="196" hidden="1" spans="1:10">
      <c r="A196" s="154">
        <v>179</v>
      </c>
      <c r="B196" s="155">
        <f ca="1" t="shared" si="17"/>
        <v>57162</v>
      </c>
      <c r="C196" s="156">
        <f t="shared" si="21"/>
        <v>0</v>
      </c>
      <c r="D196" s="156">
        <f t="shared" si="24"/>
        <v>3570.51624670405</v>
      </c>
      <c r="E196" s="156">
        <f t="shared" si="18"/>
        <v>0</v>
      </c>
      <c r="F196" s="156">
        <f t="shared" si="19"/>
        <v>0</v>
      </c>
      <c r="G196" s="156">
        <f t="shared" si="22"/>
        <v>0</v>
      </c>
      <c r="H196" s="156">
        <f t="shared" si="23"/>
        <v>0</v>
      </c>
      <c r="I196" s="156">
        <f t="shared" si="20"/>
        <v>0</v>
      </c>
      <c r="J196" s="156">
        <f>SUM($H$17:$H196)</f>
        <v>1423.0974802243</v>
      </c>
    </row>
    <row r="197" hidden="1" spans="1:10">
      <c r="A197" s="154">
        <v>180</v>
      </c>
      <c r="B197" s="155">
        <f ca="1" t="shared" si="17"/>
        <v>57224</v>
      </c>
      <c r="C197" s="156">
        <f t="shared" si="21"/>
        <v>0</v>
      </c>
      <c r="D197" s="156">
        <f t="shared" si="24"/>
        <v>3570.51624670405</v>
      </c>
      <c r="E197" s="156">
        <f t="shared" si="18"/>
        <v>0</v>
      </c>
      <c r="F197" s="156">
        <f t="shared" si="19"/>
        <v>0</v>
      </c>
      <c r="G197" s="156">
        <f t="shared" si="22"/>
        <v>0</v>
      </c>
      <c r="H197" s="156">
        <f t="shared" si="23"/>
        <v>0</v>
      </c>
      <c r="I197" s="156">
        <f t="shared" si="20"/>
        <v>0</v>
      </c>
      <c r="J197" s="156">
        <f>SUM($H$17:$H197)</f>
        <v>1423.0974802243</v>
      </c>
    </row>
    <row r="198" hidden="1" spans="1:10">
      <c r="A198" s="154">
        <v>181</v>
      </c>
      <c r="B198" s="155">
        <f ca="1" t="shared" si="17"/>
        <v>57285</v>
      </c>
      <c r="C198" s="156">
        <f t="shared" si="21"/>
        <v>0</v>
      </c>
      <c r="D198" s="156">
        <f t="shared" si="24"/>
        <v>3570.51624670405</v>
      </c>
      <c r="E198" s="156">
        <f t="shared" si="18"/>
        <v>0</v>
      </c>
      <c r="F198" s="156">
        <f t="shared" si="19"/>
        <v>0</v>
      </c>
      <c r="G198" s="156">
        <f t="shared" si="22"/>
        <v>0</v>
      </c>
      <c r="H198" s="156">
        <f t="shared" si="23"/>
        <v>0</v>
      </c>
      <c r="I198" s="156">
        <f t="shared" si="20"/>
        <v>0</v>
      </c>
      <c r="J198" s="156">
        <f>SUM($H$17:$H198)</f>
        <v>1423.0974802243</v>
      </c>
    </row>
    <row r="199" hidden="1" spans="1:10">
      <c r="A199" s="154">
        <v>182</v>
      </c>
      <c r="B199" s="155">
        <f ca="1" t="shared" si="17"/>
        <v>57346</v>
      </c>
      <c r="C199" s="156">
        <f t="shared" si="21"/>
        <v>0</v>
      </c>
      <c r="D199" s="156">
        <f t="shared" si="24"/>
        <v>3570.51624670405</v>
      </c>
      <c r="E199" s="156">
        <f t="shared" si="18"/>
        <v>0</v>
      </c>
      <c r="F199" s="156">
        <f t="shared" si="19"/>
        <v>0</v>
      </c>
      <c r="G199" s="156">
        <f t="shared" si="22"/>
        <v>0</v>
      </c>
      <c r="H199" s="156">
        <f t="shared" si="23"/>
        <v>0</v>
      </c>
      <c r="I199" s="156">
        <f t="shared" si="20"/>
        <v>0</v>
      </c>
      <c r="J199" s="156">
        <f>SUM($H$17:$H199)</f>
        <v>1423.0974802243</v>
      </c>
    </row>
    <row r="200" hidden="1" spans="1:10">
      <c r="A200" s="154">
        <v>183</v>
      </c>
      <c r="B200" s="155">
        <f ca="1" t="shared" si="17"/>
        <v>57405</v>
      </c>
      <c r="C200" s="156">
        <f t="shared" si="21"/>
        <v>0</v>
      </c>
      <c r="D200" s="156">
        <f t="shared" si="24"/>
        <v>3570.51624670405</v>
      </c>
      <c r="E200" s="156">
        <f t="shared" si="18"/>
        <v>0</v>
      </c>
      <c r="F200" s="156">
        <f t="shared" si="19"/>
        <v>0</v>
      </c>
      <c r="G200" s="156">
        <f t="shared" si="22"/>
        <v>0</v>
      </c>
      <c r="H200" s="156">
        <f t="shared" si="23"/>
        <v>0</v>
      </c>
      <c r="I200" s="156">
        <f t="shared" si="20"/>
        <v>0</v>
      </c>
      <c r="J200" s="156">
        <f>SUM($H$17:$H200)</f>
        <v>1423.0974802243</v>
      </c>
    </row>
    <row r="201" hidden="1" spans="1:10">
      <c r="A201" s="154">
        <v>184</v>
      </c>
      <c r="B201" s="155">
        <f ca="1" t="shared" si="17"/>
        <v>57466</v>
      </c>
      <c r="C201" s="156">
        <f t="shared" si="21"/>
        <v>0</v>
      </c>
      <c r="D201" s="156">
        <f t="shared" si="24"/>
        <v>3570.51624670405</v>
      </c>
      <c r="E201" s="156">
        <f t="shared" si="18"/>
        <v>0</v>
      </c>
      <c r="F201" s="156">
        <f t="shared" si="19"/>
        <v>0</v>
      </c>
      <c r="G201" s="156">
        <f t="shared" si="22"/>
        <v>0</v>
      </c>
      <c r="H201" s="156">
        <f t="shared" si="23"/>
        <v>0</v>
      </c>
      <c r="I201" s="156">
        <f t="shared" si="20"/>
        <v>0</v>
      </c>
      <c r="J201" s="156">
        <f>SUM($H$17:$H201)</f>
        <v>1423.0974802243</v>
      </c>
    </row>
    <row r="202" hidden="1" spans="1:10">
      <c r="A202" s="154">
        <v>185</v>
      </c>
      <c r="B202" s="155">
        <f ca="1" t="shared" si="17"/>
        <v>57527</v>
      </c>
      <c r="C202" s="156">
        <f t="shared" si="21"/>
        <v>0</v>
      </c>
      <c r="D202" s="156">
        <f t="shared" si="24"/>
        <v>3570.51624670405</v>
      </c>
      <c r="E202" s="156">
        <f t="shared" si="18"/>
        <v>0</v>
      </c>
      <c r="F202" s="156">
        <f t="shared" si="19"/>
        <v>0</v>
      </c>
      <c r="G202" s="156">
        <f t="shared" si="22"/>
        <v>0</v>
      </c>
      <c r="H202" s="156">
        <f t="shared" si="23"/>
        <v>0</v>
      </c>
      <c r="I202" s="156">
        <f t="shared" si="20"/>
        <v>0</v>
      </c>
      <c r="J202" s="156">
        <f>SUM($H$17:$H202)</f>
        <v>1423.0974802243</v>
      </c>
    </row>
    <row r="203" hidden="1" spans="1:10">
      <c r="A203" s="154">
        <v>186</v>
      </c>
      <c r="B203" s="155">
        <f ca="1" t="shared" si="17"/>
        <v>57589</v>
      </c>
      <c r="C203" s="156">
        <f t="shared" si="21"/>
        <v>0</v>
      </c>
      <c r="D203" s="156">
        <f t="shared" si="24"/>
        <v>3570.51624670405</v>
      </c>
      <c r="E203" s="156">
        <f t="shared" si="18"/>
        <v>0</v>
      </c>
      <c r="F203" s="156">
        <f t="shared" si="19"/>
        <v>0</v>
      </c>
      <c r="G203" s="156">
        <f t="shared" si="22"/>
        <v>0</v>
      </c>
      <c r="H203" s="156">
        <f t="shared" si="23"/>
        <v>0</v>
      </c>
      <c r="I203" s="156">
        <f t="shared" si="20"/>
        <v>0</v>
      </c>
      <c r="J203" s="156">
        <f>SUM($H$17:$H203)</f>
        <v>1423.0974802243</v>
      </c>
    </row>
    <row r="204" hidden="1" spans="1:10">
      <c r="A204" s="154">
        <v>187</v>
      </c>
      <c r="B204" s="155">
        <f ca="1" t="shared" si="17"/>
        <v>57650</v>
      </c>
      <c r="C204" s="156">
        <f t="shared" si="21"/>
        <v>0</v>
      </c>
      <c r="D204" s="156">
        <f t="shared" si="24"/>
        <v>3570.51624670405</v>
      </c>
      <c r="E204" s="156">
        <f t="shared" si="18"/>
        <v>0</v>
      </c>
      <c r="F204" s="156">
        <f t="shared" si="19"/>
        <v>0</v>
      </c>
      <c r="G204" s="156">
        <f t="shared" si="22"/>
        <v>0</v>
      </c>
      <c r="H204" s="156">
        <f t="shared" si="23"/>
        <v>0</v>
      </c>
      <c r="I204" s="156">
        <f t="shared" si="20"/>
        <v>0</v>
      </c>
      <c r="J204" s="156">
        <f>SUM($H$17:$H204)</f>
        <v>1423.0974802243</v>
      </c>
    </row>
    <row r="205" hidden="1" spans="1:10">
      <c r="A205" s="154">
        <v>188</v>
      </c>
      <c r="B205" s="155">
        <f ca="1" t="shared" si="17"/>
        <v>57711</v>
      </c>
      <c r="C205" s="156">
        <f t="shared" si="21"/>
        <v>0</v>
      </c>
      <c r="D205" s="156">
        <f t="shared" si="24"/>
        <v>3570.51624670405</v>
      </c>
      <c r="E205" s="156">
        <f t="shared" si="18"/>
        <v>0</v>
      </c>
      <c r="F205" s="156">
        <f t="shared" si="19"/>
        <v>0</v>
      </c>
      <c r="G205" s="156">
        <f t="shared" si="22"/>
        <v>0</v>
      </c>
      <c r="H205" s="156">
        <f t="shared" si="23"/>
        <v>0</v>
      </c>
      <c r="I205" s="156">
        <f t="shared" si="20"/>
        <v>0</v>
      </c>
      <c r="J205" s="156">
        <f>SUM($H$17:$H205)</f>
        <v>1423.0974802243</v>
      </c>
    </row>
    <row r="206" hidden="1" spans="1:10">
      <c r="A206" s="154">
        <v>189</v>
      </c>
      <c r="B206" s="155">
        <f ca="1" t="shared" si="17"/>
        <v>57770</v>
      </c>
      <c r="C206" s="156">
        <f t="shared" si="21"/>
        <v>0</v>
      </c>
      <c r="D206" s="156">
        <f t="shared" si="24"/>
        <v>3570.51624670405</v>
      </c>
      <c r="E206" s="156">
        <f t="shared" si="18"/>
        <v>0</v>
      </c>
      <c r="F206" s="156">
        <f t="shared" si="19"/>
        <v>0</v>
      </c>
      <c r="G206" s="156">
        <f t="shared" si="22"/>
        <v>0</v>
      </c>
      <c r="H206" s="156">
        <f t="shared" si="23"/>
        <v>0</v>
      </c>
      <c r="I206" s="156">
        <f t="shared" si="20"/>
        <v>0</v>
      </c>
      <c r="J206" s="156">
        <f>SUM($H$17:$H206)</f>
        <v>1423.0974802243</v>
      </c>
    </row>
    <row r="207" hidden="1" spans="1:10">
      <c r="A207" s="154">
        <v>190</v>
      </c>
      <c r="B207" s="155">
        <f ca="1" t="shared" si="17"/>
        <v>57831</v>
      </c>
      <c r="C207" s="156">
        <f t="shared" si="21"/>
        <v>0</v>
      </c>
      <c r="D207" s="156">
        <f t="shared" si="24"/>
        <v>3570.51624670405</v>
      </c>
      <c r="E207" s="156">
        <f t="shared" si="18"/>
        <v>0</v>
      </c>
      <c r="F207" s="156">
        <f t="shared" si="19"/>
        <v>0</v>
      </c>
      <c r="G207" s="156">
        <f t="shared" si="22"/>
        <v>0</v>
      </c>
      <c r="H207" s="156">
        <f t="shared" si="23"/>
        <v>0</v>
      </c>
      <c r="I207" s="156">
        <f t="shared" si="20"/>
        <v>0</v>
      </c>
      <c r="J207" s="156">
        <f>SUM($H$17:$H207)</f>
        <v>1423.0974802243</v>
      </c>
    </row>
    <row r="208" hidden="1" spans="1:10">
      <c r="A208" s="154">
        <v>191</v>
      </c>
      <c r="B208" s="155">
        <f ca="1" t="shared" si="17"/>
        <v>57892</v>
      </c>
      <c r="C208" s="156">
        <f t="shared" si="21"/>
        <v>0</v>
      </c>
      <c r="D208" s="156">
        <f t="shared" si="24"/>
        <v>3570.51624670405</v>
      </c>
      <c r="E208" s="156">
        <f t="shared" si="18"/>
        <v>0</v>
      </c>
      <c r="F208" s="156">
        <f t="shared" si="19"/>
        <v>0</v>
      </c>
      <c r="G208" s="156">
        <f t="shared" si="22"/>
        <v>0</v>
      </c>
      <c r="H208" s="156">
        <f t="shared" si="23"/>
        <v>0</v>
      </c>
      <c r="I208" s="156">
        <f t="shared" si="20"/>
        <v>0</v>
      </c>
      <c r="J208" s="156">
        <f>SUM($H$17:$H208)</f>
        <v>1423.0974802243</v>
      </c>
    </row>
    <row r="209" hidden="1" spans="1:10">
      <c r="A209" s="154">
        <v>192</v>
      </c>
      <c r="B209" s="155">
        <f ca="1" t="shared" si="17"/>
        <v>57954</v>
      </c>
      <c r="C209" s="156">
        <f t="shared" si="21"/>
        <v>0</v>
      </c>
      <c r="D209" s="156">
        <f t="shared" si="24"/>
        <v>3570.51624670405</v>
      </c>
      <c r="E209" s="156">
        <f t="shared" si="18"/>
        <v>0</v>
      </c>
      <c r="F209" s="156">
        <f t="shared" si="19"/>
        <v>0</v>
      </c>
      <c r="G209" s="156">
        <f t="shared" si="22"/>
        <v>0</v>
      </c>
      <c r="H209" s="156">
        <f t="shared" si="23"/>
        <v>0</v>
      </c>
      <c r="I209" s="156">
        <f t="shared" si="20"/>
        <v>0</v>
      </c>
      <c r="J209" s="156">
        <f>SUM($H$17:$H209)</f>
        <v>1423.0974802243</v>
      </c>
    </row>
    <row r="210" hidden="1" spans="1:10">
      <c r="A210" s="154">
        <v>193</v>
      </c>
      <c r="B210" s="155">
        <f ca="1" t="shared" ref="B210:B273" si="25">IF(Pay_Num&lt;&gt;"",DATE(YEAR(Loan_Start),MONTH(Loan_Start)+(Pay_Num)*12/Num_Pmt_Per_Year,DAY(Loan_Start)),"")</f>
        <v>58015</v>
      </c>
      <c r="C210" s="156">
        <f t="shared" si="21"/>
        <v>0</v>
      </c>
      <c r="D210" s="156">
        <f t="shared" si="24"/>
        <v>3570.51624670405</v>
      </c>
      <c r="E210" s="156">
        <f t="shared" ref="E210:E273" si="26">IF(AND(Pay_Num&lt;&gt;"",Sched_Pay+Scheduled_Extra_Payments&lt;Beg_Bal),Scheduled_Extra_Payments,IF(AND(Pay_Num&lt;&gt;"",Beg_Bal-Sched_Pay&gt;0),Beg_Bal-Sched_Pay,IF(Pay_Num&lt;&gt;"",0,"")))</f>
        <v>0</v>
      </c>
      <c r="F210" s="156">
        <f t="shared" ref="F210:F273" si="27">IF(AND(Pay_Num&lt;&gt;"",Sched_Pay+Extra_Pay&lt;Beg_Bal),Sched_Pay+Extra_Pay,IF(Pay_Num&lt;&gt;"",Beg_Bal,""))</f>
        <v>0</v>
      </c>
      <c r="G210" s="156">
        <f t="shared" si="22"/>
        <v>0</v>
      </c>
      <c r="H210" s="156">
        <f t="shared" si="23"/>
        <v>0</v>
      </c>
      <c r="I210" s="156">
        <f t="shared" ref="I210:I273" si="28">IF(AND(Pay_Num&lt;&gt;"",Sched_Pay+Extra_Pay&lt;Beg_Bal),Beg_Bal-Princ,IF(Pay_Num&lt;&gt;"",0,""))</f>
        <v>0</v>
      </c>
      <c r="J210" s="156">
        <f>SUM($H$17:$H210)</f>
        <v>1423.0974802243</v>
      </c>
    </row>
    <row r="211" hidden="1" spans="1:10">
      <c r="A211" s="154">
        <v>194</v>
      </c>
      <c r="B211" s="155">
        <f ca="1" t="shared" si="25"/>
        <v>58076</v>
      </c>
      <c r="C211" s="156">
        <f t="shared" ref="C211:C274" si="29">IF(Pay_Num&lt;&gt;"",I210,"")</f>
        <v>0</v>
      </c>
      <c r="D211" s="156">
        <f t="shared" si="24"/>
        <v>3570.51624670405</v>
      </c>
      <c r="E211" s="156">
        <f t="shared" si="26"/>
        <v>0</v>
      </c>
      <c r="F211" s="156">
        <f t="shared" si="27"/>
        <v>0</v>
      </c>
      <c r="G211" s="156">
        <f t="shared" ref="G211:G274" si="30">IF(Pay_Num&lt;&gt;"",Total_Pay-Int,"")</f>
        <v>0</v>
      </c>
      <c r="H211" s="156">
        <f t="shared" ref="H211:H274" si="31">IF(Pay_Num&lt;&gt;"",Beg_Bal*Interest_Rate/Num_Pmt_Per_Year,"")</f>
        <v>0</v>
      </c>
      <c r="I211" s="156">
        <f t="shared" si="28"/>
        <v>0</v>
      </c>
      <c r="J211" s="156">
        <f>SUM($H$17:$H211)</f>
        <v>1423.0974802243</v>
      </c>
    </row>
    <row r="212" hidden="1" spans="1:10">
      <c r="A212" s="154">
        <v>195</v>
      </c>
      <c r="B212" s="155">
        <f ca="1" t="shared" si="25"/>
        <v>58135</v>
      </c>
      <c r="C212" s="156">
        <f t="shared" si="29"/>
        <v>0</v>
      </c>
      <c r="D212" s="156">
        <f t="shared" ref="D212:D275" si="32">IF(Pay_Num&lt;&gt;"",Scheduled_Monthly_Payment,"")</f>
        <v>3570.51624670405</v>
      </c>
      <c r="E212" s="156">
        <f t="shared" si="26"/>
        <v>0</v>
      </c>
      <c r="F212" s="156">
        <f t="shared" si="27"/>
        <v>0</v>
      </c>
      <c r="G212" s="156">
        <f t="shared" si="30"/>
        <v>0</v>
      </c>
      <c r="H212" s="156">
        <f t="shared" si="31"/>
        <v>0</v>
      </c>
      <c r="I212" s="156">
        <f t="shared" si="28"/>
        <v>0</v>
      </c>
      <c r="J212" s="156">
        <f>SUM($H$17:$H212)</f>
        <v>1423.0974802243</v>
      </c>
    </row>
    <row r="213" hidden="1" spans="1:10">
      <c r="A213" s="154">
        <v>196</v>
      </c>
      <c r="B213" s="155">
        <f ca="1" t="shared" si="25"/>
        <v>58196</v>
      </c>
      <c r="C213" s="156">
        <f t="shared" si="29"/>
        <v>0</v>
      </c>
      <c r="D213" s="156">
        <f t="shared" si="32"/>
        <v>3570.51624670405</v>
      </c>
      <c r="E213" s="156">
        <f t="shared" si="26"/>
        <v>0</v>
      </c>
      <c r="F213" s="156">
        <f t="shared" si="27"/>
        <v>0</v>
      </c>
      <c r="G213" s="156">
        <f t="shared" si="30"/>
        <v>0</v>
      </c>
      <c r="H213" s="156">
        <f t="shared" si="31"/>
        <v>0</v>
      </c>
      <c r="I213" s="156">
        <f t="shared" si="28"/>
        <v>0</v>
      </c>
      <c r="J213" s="156">
        <f>SUM($H$17:$H213)</f>
        <v>1423.0974802243</v>
      </c>
    </row>
    <row r="214" hidden="1" spans="1:10">
      <c r="A214" s="154">
        <v>197</v>
      </c>
      <c r="B214" s="155">
        <f ca="1" t="shared" si="25"/>
        <v>58257</v>
      </c>
      <c r="C214" s="156">
        <f t="shared" si="29"/>
        <v>0</v>
      </c>
      <c r="D214" s="156">
        <f t="shared" si="32"/>
        <v>3570.51624670405</v>
      </c>
      <c r="E214" s="156">
        <f t="shared" si="26"/>
        <v>0</v>
      </c>
      <c r="F214" s="156">
        <f t="shared" si="27"/>
        <v>0</v>
      </c>
      <c r="G214" s="156">
        <f t="shared" si="30"/>
        <v>0</v>
      </c>
      <c r="H214" s="156">
        <f t="shared" si="31"/>
        <v>0</v>
      </c>
      <c r="I214" s="156">
        <f t="shared" si="28"/>
        <v>0</v>
      </c>
      <c r="J214" s="156">
        <f>SUM($H$17:$H214)</f>
        <v>1423.0974802243</v>
      </c>
    </row>
    <row r="215" hidden="1" spans="1:10">
      <c r="A215" s="154">
        <v>198</v>
      </c>
      <c r="B215" s="155">
        <f ca="1" t="shared" si="25"/>
        <v>58319</v>
      </c>
      <c r="C215" s="156">
        <f t="shared" si="29"/>
        <v>0</v>
      </c>
      <c r="D215" s="156">
        <f t="shared" si="32"/>
        <v>3570.51624670405</v>
      </c>
      <c r="E215" s="156">
        <f t="shared" si="26"/>
        <v>0</v>
      </c>
      <c r="F215" s="156">
        <f t="shared" si="27"/>
        <v>0</v>
      </c>
      <c r="G215" s="156">
        <f t="shared" si="30"/>
        <v>0</v>
      </c>
      <c r="H215" s="156">
        <f t="shared" si="31"/>
        <v>0</v>
      </c>
      <c r="I215" s="156">
        <f t="shared" si="28"/>
        <v>0</v>
      </c>
      <c r="J215" s="156">
        <f>SUM($H$17:$H215)</f>
        <v>1423.0974802243</v>
      </c>
    </row>
    <row r="216" hidden="1" spans="1:10">
      <c r="A216" s="154">
        <v>199</v>
      </c>
      <c r="B216" s="155">
        <f ca="1" t="shared" si="25"/>
        <v>58380</v>
      </c>
      <c r="C216" s="156">
        <f t="shared" si="29"/>
        <v>0</v>
      </c>
      <c r="D216" s="156">
        <f t="shared" si="32"/>
        <v>3570.51624670405</v>
      </c>
      <c r="E216" s="156">
        <f t="shared" si="26"/>
        <v>0</v>
      </c>
      <c r="F216" s="156">
        <f t="shared" si="27"/>
        <v>0</v>
      </c>
      <c r="G216" s="156">
        <f t="shared" si="30"/>
        <v>0</v>
      </c>
      <c r="H216" s="156">
        <f t="shared" si="31"/>
        <v>0</v>
      </c>
      <c r="I216" s="156">
        <f t="shared" si="28"/>
        <v>0</v>
      </c>
      <c r="J216" s="156">
        <f>SUM($H$17:$H216)</f>
        <v>1423.0974802243</v>
      </c>
    </row>
    <row r="217" hidden="1" spans="1:10">
      <c r="A217" s="154">
        <v>200</v>
      </c>
      <c r="B217" s="155">
        <f ca="1" t="shared" si="25"/>
        <v>58441</v>
      </c>
      <c r="C217" s="156">
        <f t="shared" si="29"/>
        <v>0</v>
      </c>
      <c r="D217" s="156">
        <f t="shared" si="32"/>
        <v>3570.51624670405</v>
      </c>
      <c r="E217" s="156">
        <f t="shared" si="26"/>
        <v>0</v>
      </c>
      <c r="F217" s="156">
        <f t="shared" si="27"/>
        <v>0</v>
      </c>
      <c r="G217" s="156">
        <f t="shared" si="30"/>
        <v>0</v>
      </c>
      <c r="H217" s="156">
        <f t="shared" si="31"/>
        <v>0</v>
      </c>
      <c r="I217" s="156">
        <f t="shared" si="28"/>
        <v>0</v>
      </c>
      <c r="J217" s="156">
        <f>SUM($H$17:$H217)</f>
        <v>1423.0974802243</v>
      </c>
    </row>
    <row r="218" hidden="1" spans="1:10">
      <c r="A218" s="154">
        <v>201</v>
      </c>
      <c r="B218" s="155">
        <f ca="1" t="shared" si="25"/>
        <v>58501</v>
      </c>
      <c r="C218" s="156">
        <f t="shared" si="29"/>
        <v>0</v>
      </c>
      <c r="D218" s="156">
        <f t="shared" si="32"/>
        <v>3570.51624670405</v>
      </c>
      <c r="E218" s="156">
        <f t="shared" si="26"/>
        <v>0</v>
      </c>
      <c r="F218" s="156">
        <f t="shared" si="27"/>
        <v>0</v>
      </c>
      <c r="G218" s="156">
        <f t="shared" si="30"/>
        <v>0</v>
      </c>
      <c r="H218" s="156">
        <f t="shared" si="31"/>
        <v>0</v>
      </c>
      <c r="I218" s="156">
        <f t="shared" si="28"/>
        <v>0</v>
      </c>
      <c r="J218" s="156">
        <f>SUM($H$17:$H218)</f>
        <v>1423.0974802243</v>
      </c>
    </row>
    <row r="219" hidden="1" spans="1:10">
      <c r="A219" s="154">
        <v>202</v>
      </c>
      <c r="B219" s="155">
        <f ca="1" t="shared" si="25"/>
        <v>58562</v>
      </c>
      <c r="C219" s="156">
        <f t="shared" si="29"/>
        <v>0</v>
      </c>
      <c r="D219" s="156">
        <f t="shared" si="32"/>
        <v>3570.51624670405</v>
      </c>
      <c r="E219" s="156">
        <f t="shared" si="26"/>
        <v>0</v>
      </c>
      <c r="F219" s="156">
        <f t="shared" si="27"/>
        <v>0</v>
      </c>
      <c r="G219" s="156">
        <f t="shared" si="30"/>
        <v>0</v>
      </c>
      <c r="H219" s="156">
        <f t="shared" si="31"/>
        <v>0</v>
      </c>
      <c r="I219" s="156">
        <f t="shared" si="28"/>
        <v>0</v>
      </c>
      <c r="J219" s="156">
        <f>SUM($H$17:$H219)</f>
        <v>1423.0974802243</v>
      </c>
    </row>
    <row r="220" hidden="1" spans="1:10">
      <c r="A220" s="154">
        <v>203</v>
      </c>
      <c r="B220" s="155">
        <f ca="1" t="shared" si="25"/>
        <v>58623</v>
      </c>
      <c r="C220" s="156">
        <f t="shared" si="29"/>
        <v>0</v>
      </c>
      <c r="D220" s="156">
        <f t="shared" si="32"/>
        <v>3570.51624670405</v>
      </c>
      <c r="E220" s="156">
        <f t="shared" si="26"/>
        <v>0</v>
      </c>
      <c r="F220" s="156">
        <f t="shared" si="27"/>
        <v>0</v>
      </c>
      <c r="G220" s="156">
        <f t="shared" si="30"/>
        <v>0</v>
      </c>
      <c r="H220" s="156">
        <f t="shared" si="31"/>
        <v>0</v>
      </c>
      <c r="I220" s="156">
        <f t="shared" si="28"/>
        <v>0</v>
      </c>
      <c r="J220" s="156">
        <f>SUM($H$17:$H220)</f>
        <v>1423.0974802243</v>
      </c>
    </row>
    <row r="221" hidden="1" spans="1:10">
      <c r="A221" s="154">
        <v>204</v>
      </c>
      <c r="B221" s="155">
        <f ca="1" t="shared" si="25"/>
        <v>58685</v>
      </c>
      <c r="C221" s="156">
        <f t="shared" si="29"/>
        <v>0</v>
      </c>
      <c r="D221" s="156">
        <f t="shared" si="32"/>
        <v>3570.51624670405</v>
      </c>
      <c r="E221" s="156">
        <f t="shared" si="26"/>
        <v>0</v>
      </c>
      <c r="F221" s="156">
        <f t="shared" si="27"/>
        <v>0</v>
      </c>
      <c r="G221" s="156">
        <f t="shared" si="30"/>
        <v>0</v>
      </c>
      <c r="H221" s="156">
        <f t="shared" si="31"/>
        <v>0</v>
      </c>
      <c r="I221" s="156">
        <f t="shared" si="28"/>
        <v>0</v>
      </c>
      <c r="J221" s="156">
        <f>SUM($H$17:$H221)</f>
        <v>1423.0974802243</v>
      </c>
    </row>
    <row r="222" hidden="1" spans="1:10">
      <c r="A222" s="154">
        <v>205</v>
      </c>
      <c r="B222" s="155">
        <f ca="1" t="shared" si="25"/>
        <v>58746</v>
      </c>
      <c r="C222" s="156">
        <f t="shared" si="29"/>
        <v>0</v>
      </c>
      <c r="D222" s="156">
        <f t="shared" si="32"/>
        <v>3570.51624670405</v>
      </c>
      <c r="E222" s="156">
        <f t="shared" si="26"/>
        <v>0</v>
      </c>
      <c r="F222" s="156">
        <f t="shared" si="27"/>
        <v>0</v>
      </c>
      <c r="G222" s="156">
        <f t="shared" si="30"/>
        <v>0</v>
      </c>
      <c r="H222" s="156">
        <f t="shared" si="31"/>
        <v>0</v>
      </c>
      <c r="I222" s="156">
        <f t="shared" si="28"/>
        <v>0</v>
      </c>
      <c r="J222" s="156">
        <f>SUM($H$17:$H222)</f>
        <v>1423.0974802243</v>
      </c>
    </row>
    <row r="223" hidden="1" spans="1:10">
      <c r="A223" s="154">
        <v>206</v>
      </c>
      <c r="B223" s="155">
        <f ca="1" t="shared" si="25"/>
        <v>58807</v>
      </c>
      <c r="C223" s="156">
        <f t="shared" si="29"/>
        <v>0</v>
      </c>
      <c r="D223" s="156">
        <f t="shared" si="32"/>
        <v>3570.51624670405</v>
      </c>
      <c r="E223" s="156">
        <f t="shared" si="26"/>
        <v>0</v>
      </c>
      <c r="F223" s="156">
        <f t="shared" si="27"/>
        <v>0</v>
      </c>
      <c r="G223" s="156">
        <f t="shared" si="30"/>
        <v>0</v>
      </c>
      <c r="H223" s="156">
        <f t="shared" si="31"/>
        <v>0</v>
      </c>
      <c r="I223" s="156">
        <f t="shared" si="28"/>
        <v>0</v>
      </c>
      <c r="J223" s="156">
        <f>SUM($H$17:$H223)</f>
        <v>1423.0974802243</v>
      </c>
    </row>
    <row r="224" hidden="1" spans="1:10">
      <c r="A224" s="154">
        <v>207</v>
      </c>
      <c r="B224" s="155">
        <f ca="1" t="shared" si="25"/>
        <v>58866</v>
      </c>
      <c r="C224" s="156">
        <f t="shared" si="29"/>
        <v>0</v>
      </c>
      <c r="D224" s="156">
        <f t="shared" si="32"/>
        <v>3570.51624670405</v>
      </c>
      <c r="E224" s="156">
        <f t="shared" si="26"/>
        <v>0</v>
      </c>
      <c r="F224" s="156">
        <f t="shared" si="27"/>
        <v>0</v>
      </c>
      <c r="G224" s="156">
        <f t="shared" si="30"/>
        <v>0</v>
      </c>
      <c r="H224" s="156">
        <f t="shared" si="31"/>
        <v>0</v>
      </c>
      <c r="I224" s="156">
        <f t="shared" si="28"/>
        <v>0</v>
      </c>
      <c r="J224" s="156">
        <f>SUM($H$17:$H224)</f>
        <v>1423.0974802243</v>
      </c>
    </row>
    <row r="225" hidden="1" spans="1:10">
      <c r="A225" s="154">
        <v>208</v>
      </c>
      <c r="B225" s="155">
        <f ca="1" t="shared" si="25"/>
        <v>58927</v>
      </c>
      <c r="C225" s="156">
        <f t="shared" si="29"/>
        <v>0</v>
      </c>
      <c r="D225" s="156">
        <f t="shared" si="32"/>
        <v>3570.51624670405</v>
      </c>
      <c r="E225" s="156">
        <f t="shared" si="26"/>
        <v>0</v>
      </c>
      <c r="F225" s="156">
        <f t="shared" si="27"/>
        <v>0</v>
      </c>
      <c r="G225" s="156">
        <f t="shared" si="30"/>
        <v>0</v>
      </c>
      <c r="H225" s="156">
        <f t="shared" si="31"/>
        <v>0</v>
      </c>
      <c r="I225" s="156">
        <f t="shared" si="28"/>
        <v>0</v>
      </c>
      <c r="J225" s="156">
        <f>SUM($H$17:$H225)</f>
        <v>1423.0974802243</v>
      </c>
    </row>
    <row r="226" hidden="1" spans="1:10">
      <c r="A226" s="154">
        <v>209</v>
      </c>
      <c r="B226" s="155">
        <f ca="1" t="shared" si="25"/>
        <v>58988</v>
      </c>
      <c r="C226" s="156">
        <f t="shared" si="29"/>
        <v>0</v>
      </c>
      <c r="D226" s="156">
        <f t="shared" si="32"/>
        <v>3570.51624670405</v>
      </c>
      <c r="E226" s="156">
        <f t="shared" si="26"/>
        <v>0</v>
      </c>
      <c r="F226" s="156">
        <f t="shared" si="27"/>
        <v>0</v>
      </c>
      <c r="G226" s="156">
        <f t="shared" si="30"/>
        <v>0</v>
      </c>
      <c r="H226" s="156">
        <f t="shared" si="31"/>
        <v>0</v>
      </c>
      <c r="I226" s="156">
        <f t="shared" si="28"/>
        <v>0</v>
      </c>
      <c r="J226" s="156">
        <f>SUM($H$17:$H226)</f>
        <v>1423.0974802243</v>
      </c>
    </row>
    <row r="227" hidden="1" spans="1:10">
      <c r="A227" s="154">
        <v>210</v>
      </c>
      <c r="B227" s="155">
        <f ca="1" t="shared" si="25"/>
        <v>59050</v>
      </c>
      <c r="C227" s="156">
        <f t="shared" si="29"/>
        <v>0</v>
      </c>
      <c r="D227" s="156">
        <f t="shared" si="32"/>
        <v>3570.51624670405</v>
      </c>
      <c r="E227" s="156">
        <f t="shared" si="26"/>
        <v>0</v>
      </c>
      <c r="F227" s="156">
        <f t="shared" si="27"/>
        <v>0</v>
      </c>
      <c r="G227" s="156">
        <f t="shared" si="30"/>
        <v>0</v>
      </c>
      <c r="H227" s="156">
        <f t="shared" si="31"/>
        <v>0</v>
      </c>
      <c r="I227" s="156">
        <f t="shared" si="28"/>
        <v>0</v>
      </c>
      <c r="J227" s="156">
        <f>SUM($H$17:$H227)</f>
        <v>1423.0974802243</v>
      </c>
    </row>
    <row r="228" hidden="1" spans="1:10">
      <c r="A228" s="154">
        <v>211</v>
      </c>
      <c r="B228" s="155">
        <f ca="1" t="shared" si="25"/>
        <v>59111</v>
      </c>
      <c r="C228" s="156">
        <f t="shared" si="29"/>
        <v>0</v>
      </c>
      <c r="D228" s="156">
        <f t="shared" si="32"/>
        <v>3570.51624670405</v>
      </c>
      <c r="E228" s="156">
        <f t="shared" si="26"/>
        <v>0</v>
      </c>
      <c r="F228" s="156">
        <f t="shared" si="27"/>
        <v>0</v>
      </c>
      <c r="G228" s="156">
        <f t="shared" si="30"/>
        <v>0</v>
      </c>
      <c r="H228" s="156">
        <f t="shared" si="31"/>
        <v>0</v>
      </c>
      <c r="I228" s="156">
        <f t="shared" si="28"/>
        <v>0</v>
      </c>
      <c r="J228" s="156">
        <f>SUM($H$17:$H228)</f>
        <v>1423.0974802243</v>
      </c>
    </row>
    <row r="229" hidden="1" spans="1:10">
      <c r="A229" s="154">
        <v>212</v>
      </c>
      <c r="B229" s="155">
        <f ca="1" t="shared" si="25"/>
        <v>59172</v>
      </c>
      <c r="C229" s="156">
        <f t="shared" si="29"/>
        <v>0</v>
      </c>
      <c r="D229" s="156">
        <f t="shared" si="32"/>
        <v>3570.51624670405</v>
      </c>
      <c r="E229" s="156">
        <f t="shared" si="26"/>
        <v>0</v>
      </c>
      <c r="F229" s="156">
        <f t="shared" si="27"/>
        <v>0</v>
      </c>
      <c r="G229" s="156">
        <f t="shared" si="30"/>
        <v>0</v>
      </c>
      <c r="H229" s="156">
        <f t="shared" si="31"/>
        <v>0</v>
      </c>
      <c r="I229" s="156">
        <f t="shared" si="28"/>
        <v>0</v>
      </c>
      <c r="J229" s="156">
        <f>SUM($H$17:$H229)</f>
        <v>1423.0974802243</v>
      </c>
    </row>
    <row r="230" hidden="1" spans="1:10">
      <c r="A230" s="154">
        <v>213</v>
      </c>
      <c r="B230" s="155">
        <f ca="1" t="shared" si="25"/>
        <v>59231</v>
      </c>
      <c r="C230" s="156">
        <f t="shared" si="29"/>
        <v>0</v>
      </c>
      <c r="D230" s="156">
        <f t="shared" si="32"/>
        <v>3570.51624670405</v>
      </c>
      <c r="E230" s="156">
        <f t="shared" si="26"/>
        <v>0</v>
      </c>
      <c r="F230" s="156">
        <f t="shared" si="27"/>
        <v>0</v>
      </c>
      <c r="G230" s="156">
        <f t="shared" si="30"/>
        <v>0</v>
      </c>
      <c r="H230" s="156">
        <f t="shared" si="31"/>
        <v>0</v>
      </c>
      <c r="I230" s="156">
        <f t="shared" si="28"/>
        <v>0</v>
      </c>
      <c r="J230" s="156">
        <f>SUM($H$17:$H230)</f>
        <v>1423.0974802243</v>
      </c>
    </row>
    <row r="231" hidden="1" spans="1:10">
      <c r="A231" s="154">
        <v>214</v>
      </c>
      <c r="B231" s="155">
        <f ca="1" t="shared" si="25"/>
        <v>59292</v>
      </c>
      <c r="C231" s="156">
        <f t="shared" si="29"/>
        <v>0</v>
      </c>
      <c r="D231" s="156">
        <f t="shared" si="32"/>
        <v>3570.51624670405</v>
      </c>
      <c r="E231" s="156">
        <f t="shared" si="26"/>
        <v>0</v>
      </c>
      <c r="F231" s="156">
        <f t="shared" si="27"/>
        <v>0</v>
      </c>
      <c r="G231" s="156">
        <f t="shared" si="30"/>
        <v>0</v>
      </c>
      <c r="H231" s="156">
        <f t="shared" si="31"/>
        <v>0</v>
      </c>
      <c r="I231" s="156">
        <f t="shared" si="28"/>
        <v>0</v>
      </c>
      <c r="J231" s="156">
        <f>SUM($H$17:$H231)</f>
        <v>1423.0974802243</v>
      </c>
    </row>
    <row r="232" hidden="1" spans="1:10">
      <c r="A232" s="154">
        <v>215</v>
      </c>
      <c r="B232" s="155">
        <f ca="1" t="shared" si="25"/>
        <v>59353</v>
      </c>
      <c r="C232" s="156">
        <f t="shared" si="29"/>
        <v>0</v>
      </c>
      <c r="D232" s="156">
        <f t="shared" si="32"/>
        <v>3570.51624670405</v>
      </c>
      <c r="E232" s="156">
        <f t="shared" si="26"/>
        <v>0</v>
      </c>
      <c r="F232" s="156">
        <f t="shared" si="27"/>
        <v>0</v>
      </c>
      <c r="G232" s="156">
        <f t="shared" si="30"/>
        <v>0</v>
      </c>
      <c r="H232" s="156">
        <f t="shared" si="31"/>
        <v>0</v>
      </c>
      <c r="I232" s="156">
        <f t="shared" si="28"/>
        <v>0</v>
      </c>
      <c r="J232" s="156">
        <f>SUM($H$17:$H232)</f>
        <v>1423.0974802243</v>
      </c>
    </row>
    <row r="233" hidden="1" spans="1:10">
      <c r="A233" s="154">
        <v>216</v>
      </c>
      <c r="B233" s="155">
        <f ca="1" t="shared" si="25"/>
        <v>59415</v>
      </c>
      <c r="C233" s="156">
        <f t="shared" si="29"/>
        <v>0</v>
      </c>
      <c r="D233" s="156">
        <f t="shared" si="32"/>
        <v>3570.51624670405</v>
      </c>
      <c r="E233" s="156">
        <f t="shared" si="26"/>
        <v>0</v>
      </c>
      <c r="F233" s="156">
        <f t="shared" si="27"/>
        <v>0</v>
      </c>
      <c r="G233" s="156">
        <f t="shared" si="30"/>
        <v>0</v>
      </c>
      <c r="H233" s="156">
        <f t="shared" si="31"/>
        <v>0</v>
      </c>
      <c r="I233" s="156">
        <f t="shared" si="28"/>
        <v>0</v>
      </c>
      <c r="J233" s="156">
        <f>SUM($H$17:$H233)</f>
        <v>1423.0974802243</v>
      </c>
    </row>
    <row r="234" hidden="1" spans="1:10">
      <c r="A234" s="154">
        <v>217</v>
      </c>
      <c r="B234" s="155">
        <f ca="1" t="shared" si="25"/>
        <v>59476</v>
      </c>
      <c r="C234" s="156">
        <f t="shared" si="29"/>
        <v>0</v>
      </c>
      <c r="D234" s="156">
        <f t="shared" si="32"/>
        <v>3570.51624670405</v>
      </c>
      <c r="E234" s="156">
        <f t="shared" si="26"/>
        <v>0</v>
      </c>
      <c r="F234" s="156">
        <f t="shared" si="27"/>
        <v>0</v>
      </c>
      <c r="G234" s="156">
        <f t="shared" si="30"/>
        <v>0</v>
      </c>
      <c r="H234" s="156">
        <f t="shared" si="31"/>
        <v>0</v>
      </c>
      <c r="I234" s="156">
        <f t="shared" si="28"/>
        <v>0</v>
      </c>
      <c r="J234" s="156">
        <f>SUM($H$17:$H234)</f>
        <v>1423.0974802243</v>
      </c>
    </row>
    <row r="235" hidden="1" spans="1:10">
      <c r="A235" s="154">
        <v>218</v>
      </c>
      <c r="B235" s="155">
        <f ca="1" t="shared" si="25"/>
        <v>59537</v>
      </c>
      <c r="C235" s="156">
        <f t="shared" si="29"/>
        <v>0</v>
      </c>
      <c r="D235" s="156">
        <f t="shared" si="32"/>
        <v>3570.51624670405</v>
      </c>
      <c r="E235" s="156">
        <f t="shared" si="26"/>
        <v>0</v>
      </c>
      <c r="F235" s="156">
        <f t="shared" si="27"/>
        <v>0</v>
      </c>
      <c r="G235" s="156">
        <f t="shared" si="30"/>
        <v>0</v>
      </c>
      <c r="H235" s="156">
        <f t="shared" si="31"/>
        <v>0</v>
      </c>
      <c r="I235" s="156">
        <f t="shared" si="28"/>
        <v>0</v>
      </c>
      <c r="J235" s="156">
        <f>SUM($H$17:$H235)</f>
        <v>1423.0974802243</v>
      </c>
    </row>
    <row r="236" hidden="1" spans="1:10">
      <c r="A236" s="154">
        <v>219</v>
      </c>
      <c r="B236" s="155">
        <f ca="1" t="shared" si="25"/>
        <v>59596</v>
      </c>
      <c r="C236" s="156">
        <f t="shared" si="29"/>
        <v>0</v>
      </c>
      <c r="D236" s="156">
        <f t="shared" si="32"/>
        <v>3570.51624670405</v>
      </c>
      <c r="E236" s="156">
        <f t="shared" si="26"/>
        <v>0</v>
      </c>
      <c r="F236" s="156">
        <f t="shared" si="27"/>
        <v>0</v>
      </c>
      <c r="G236" s="156">
        <f t="shared" si="30"/>
        <v>0</v>
      </c>
      <c r="H236" s="156">
        <f t="shared" si="31"/>
        <v>0</v>
      </c>
      <c r="I236" s="156">
        <f t="shared" si="28"/>
        <v>0</v>
      </c>
      <c r="J236" s="156">
        <f>SUM($H$17:$H236)</f>
        <v>1423.0974802243</v>
      </c>
    </row>
    <row r="237" hidden="1" spans="1:10">
      <c r="A237" s="154">
        <v>220</v>
      </c>
      <c r="B237" s="155">
        <f ca="1" t="shared" si="25"/>
        <v>59657</v>
      </c>
      <c r="C237" s="156">
        <f t="shared" si="29"/>
        <v>0</v>
      </c>
      <c r="D237" s="156">
        <f t="shared" si="32"/>
        <v>3570.51624670405</v>
      </c>
      <c r="E237" s="156">
        <f t="shared" si="26"/>
        <v>0</v>
      </c>
      <c r="F237" s="156">
        <f t="shared" si="27"/>
        <v>0</v>
      </c>
      <c r="G237" s="156">
        <f t="shared" si="30"/>
        <v>0</v>
      </c>
      <c r="H237" s="156">
        <f t="shared" si="31"/>
        <v>0</v>
      </c>
      <c r="I237" s="156">
        <f t="shared" si="28"/>
        <v>0</v>
      </c>
      <c r="J237" s="156">
        <f>SUM($H$17:$H237)</f>
        <v>1423.0974802243</v>
      </c>
    </row>
    <row r="238" hidden="1" spans="1:10">
      <c r="A238" s="154">
        <v>221</v>
      </c>
      <c r="B238" s="155">
        <f ca="1" t="shared" si="25"/>
        <v>59718</v>
      </c>
      <c r="C238" s="156">
        <f t="shared" si="29"/>
        <v>0</v>
      </c>
      <c r="D238" s="156">
        <f t="shared" si="32"/>
        <v>3570.51624670405</v>
      </c>
      <c r="E238" s="156">
        <f t="shared" si="26"/>
        <v>0</v>
      </c>
      <c r="F238" s="156">
        <f t="shared" si="27"/>
        <v>0</v>
      </c>
      <c r="G238" s="156">
        <f t="shared" si="30"/>
        <v>0</v>
      </c>
      <c r="H238" s="156">
        <f t="shared" si="31"/>
        <v>0</v>
      </c>
      <c r="I238" s="156">
        <f t="shared" si="28"/>
        <v>0</v>
      </c>
      <c r="J238" s="156">
        <f>SUM($H$17:$H238)</f>
        <v>1423.0974802243</v>
      </c>
    </row>
    <row r="239" hidden="1" spans="1:10">
      <c r="A239" s="154">
        <v>222</v>
      </c>
      <c r="B239" s="155">
        <f ca="1" t="shared" si="25"/>
        <v>59780</v>
      </c>
      <c r="C239" s="156">
        <f t="shared" si="29"/>
        <v>0</v>
      </c>
      <c r="D239" s="156">
        <f t="shared" si="32"/>
        <v>3570.51624670405</v>
      </c>
      <c r="E239" s="156">
        <f t="shared" si="26"/>
        <v>0</v>
      </c>
      <c r="F239" s="156">
        <f t="shared" si="27"/>
        <v>0</v>
      </c>
      <c r="G239" s="156">
        <f t="shared" si="30"/>
        <v>0</v>
      </c>
      <c r="H239" s="156">
        <f t="shared" si="31"/>
        <v>0</v>
      </c>
      <c r="I239" s="156">
        <f t="shared" si="28"/>
        <v>0</v>
      </c>
      <c r="J239" s="156">
        <f>SUM($H$17:$H239)</f>
        <v>1423.0974802243</v>
      </c>
    </row>
    <row r="240" hidden="1" spans="1:10">
      <c r="A240" s="154">
        <v>223</v>
      </c>
      <c r="B240" s="155">
        <f ca="1" t="shared" si="25"/>
        <v>59841</v>
      </c>
      <c r="C240" s="156">
        <f t="shared" si="29"/>
        <v>0</v>
      </c>
      <c r="D240" s="156">
        <f t="shared" si="32"/>
        <v>3570.51624670405</v>
      </c>
      <c r="E240" s="156">
        <f t="shared" si="26"/>
        <v>0</v>
      </c>
      <c r="F240" s="156">
        <f t="shared" si="27"/>
        <v>0</v>
      </c>
      <c r="G240" s="156">
        <f t="shared" si="30"/>
        <v>0</v>
      </c>
      <c r="H240" s="156">
        <f t="shared" si="31"/>
        <v>0</v>
      </c>
      <c r="I240" s="156">
        <f t="shared" si="28"/>
        <v>0</v>
      </c>
      <c r="J240" s="156">
        <f>SUM($H$17:$H240)</f>
        <v>1423.0974802243</v>
      </c>
    </row>
    <row r="241" hidden="1" spans="1:10">
      <c r="A241" s="154">
        <v>224</v>
      </c>
      <c r="B241" s="155">
        <f ca="1" t="shared" si="25"/>
        <v>59902</v>
      </c>
      <c r="C241" s="156">
        <f t="shared" si="29"/>
        <v>0</v>
      </c>
      <c r="D241" s="156">
        <f t="shared" si="32"/>
        <v>3570.51624670405</v>
      </c>
      <c r="E241" s="156">
        <f t="shared" si="26"/>
        <v>0</v>
      </c>
      <c r="F241" s="156">
        <f t="shared" si="27"/>
        <v>0</v>
      </c>
      <c r="G241" s="156">
        <f t="shared" si="30"/>
        <v>0</v>
      </c>
      <c r="H241" s="156">
        <f t="shared" si="31"/>
        <v>0</v>
      </c>
      <c r="I241" s="156">
        <f t="shared" si="28"/>
        <v>0</v>
      </c>
      <c r="J241" s="156">
        <f>SUM($H$17:$H241)</f>
        <v>1423.0974802243</v>
      </c>
    </row>
    <row r="242" hidden="1" spans="1:10">
      <c r="A242" s="154">
        <v>225</v>
      </c>
      <c r="B242" s="155">
        <f ca="1" t="shared" si="25"/>
        <v>59962</v>
      </c>
      <c r="C242" s="156">
        <f t="shared" si="29"/>
        <v>0</v>
      </c>
      <c r="D242" s="156">
        <f t="shared" si="32"/>
        <v>3570.51624670405</v>
      </c>
      <c r="E242" s="156">
        <f t="shared" si="26"/>
        <v>0</v>
      </c>
      <c r="F242" s="156">
        <f t="shared" si="27"/>
        <v>0</v>
      </c>
      <c r="G242" s="156">
        <f t="shared" si="30"/>
        <v>0</v>
      </c>
      <c r="H242" s="156">
        <f t="shared" si="31"/>
        <v>0</v>
      </c>
      <c r="I242" s="156">
        <f t="shared" si="28"/>
        <v>0</v>
      </c>
      <c r="J242" s="156">
        <f>SUM($H$17:$H242)</f>
        <v>1423.0974802243</v>
      </c>
    </row>
    <row r="243" hidden="1" spans="1:10">
      <c r="A243" s="154">
        <v>226</v>
      </c>
      <c r="B243" s="155">
        <f ca="1" t="shared" si="25"/>
        <v>60023</v>
      </c>
      <c r="C243" s="156">
        <f t="shared" si="29"/>
        <v>0</v>
      </c>
      <c r="D243" s="156">
        <f t="shared" si="32"/>
        <v>3570.51624670405</v>
      </c>
      <c r="E243" s="156">
        <f t="shared" si="26"/>
        <v>0</v>
      </c>
      <c r="F243" s="156">
        <f t="shared" si="27"/>
        <v>0</v>
      </c>
      <c r="G243" s="156">
        <f t="shared" si="30"/>
        <v>0</v>
      </c>
      <c r="H243" s="156">
        <f t="shared" si="31"/>
        <v>0</v>
      </c>
      <c r="I243" s="156">
        <f t="shared" si="28"/>
        <v>0</v>
      </c>
      <c r="J243" s="156">
        <f>SUM($H$17:$H243)</f>
        <v>1423.0974802243</v>
      </c>
    </row>
    <row r="244" hidden="1" spans="1:10">
      <c r="A244" s="154">
        <v>227</v>
      </c>
      <c r="B244" s="155">
        <f ca="1" t="shared" si="25"/>
        <v>60084</v>
      </c>
      <c r="C244" s="156">
        <f t="shared" si="29"/>
        <v>0</v>
      </c>
      <c r="D244" s="156">
        <f t="shared" si="32"/>
        <v>3570.51624670405</v>
      </c>
      <c r="E244" s="156">
        <f t="shared" si="26"/>
        <v>0</v>
      </c>
      <c r="F244" s="156">
        <f t="shared" si="27"/>
        <v>0</v>
      </c>
      <c r="G244" s="156">
        <f t="shared" si="30"/>
        <v>0</v>
      </c>
      <c r="H244" s="156">
        <f t="shared" si="31"/>
        <v>0</v>
      </c>
      <c r="I244" s="156">
        <f t="shared" si="28"/>
        <v>0</v>
      </c>
      <c r="J244" s="156">
        <f>SUM($H$17:$H244)</f>
        <v>1423.0974802243</v>
      </c>
    </row>
    <row r="245" hidden="1" spans="1:10">
      <c r="A245" s="154">
        <v>228</v>
      </c>
      <c r="B245" s="155">
        <f ca="1" t="shared" si="25"/>
        <v>60146</v>
      </c>
      <c r="C245" s="156">
        <f t="shared" si="29"/>
        <v>0</v>
      </c>
      <c r="D245" s="156">
        <f t="shared" si="32"/>
        <v>3570.51624670405</v>
      </c>
      <c r="E245" s="156">
        <f t="shared" si="26"/>
        <v>0</v>
      </c>
      <c r="F245" s="156">
        <f t="shared" si="27"/>
        <v>0</v>
      </c>
      <c r="G245" s="156">
        <f t="shared" si="30"/>
        <v>0</v>
      </c>
      <c r="H245" s="156">
        <f t="shared" si="31"/>
        <v>0</v>
      </c>
      <c r="I245" s="156">
        <f t="shared" si="28"/>
        <v>0</v>
      </c>
      <c r="J245" s="156">
        <f>SUM($H$17:$H245)</f>
        <v>1423.0974802243</v>
      </c>
    </row>
    <row r="246" hidden="1" spans="1:10">
      <c r="A246" s="154">
        <v>229</v>
      </c>
      <c r="B246" s="155">
        <f ca="1" t="shared" si="25"/>
        <v>60207</v>
      </c>
      <c r="C246" s="156">
        <f t="shared" si="29"/>
        <v>0</v>
      </c>
      <c r="D246" s="156">
        <f t="shared" si="32"/>
        <v>3570.51624670405</v>
      </c>
      <c r="E246" s="156">
        <f t="shared" si="26"/>
        <v>0</v>
      </c>
      <c r="F246" s="156">
        <f t="shared" si="27"/>
        <v>0</v>
      </c>
      <c r="G246" s="156">
        <f t="shared" si="30"/>
        <v>0</v>
      </c>
      <c r="H246" s="156">
        <f t="shared" si="31"/>
        <v>0</v>
      </c>
      <c r="I246" s="156">
        <f t="shared" si="28"/>
        <v>0</v>
      </c>
      <c r="J246" s="156">
        <f>SUM($H$17:$H246)</f>
        <v>1423.0974802243</v>
      </c>
    </row>
    <row r="247" hidden="1" spans="1:10">
      <c r="A247" s="154">
        <v>230</v>
      </c>
      <c r="B247" s="155">
        <f ca="1" t="shared" si="25"/>
        <v>60268</v>
      </c>
      <c r="C247" s="156">
        <f t="shared" si="29"/>
        <v>0</v>
      </c>
      <c r="D247" s="156">
        <f t="shared" si="32"/>
        <v>3570.51624670405</v>
      </c>
      <c r="E247" s="156">
        <f t="shared" si="26"/>
        <v>0</v>
      </c>
      <c r="F247" s="156">
        <f t="shared" si="27"/>
        <v>0</v>
      </c>
      <c r="G247" s="156">
        <f t="shared" si="30"/>
        <v>0</v>
      </c>
      <c r="H247" s="156">
        <f t="shared" si="31"/>
        <v>0</v>
      </c>
      <c r="I247" s="156">
        <f t="shared" si="28"/>
        <v>0</v>
      </c>
      <c r="J247" s="156">
        <f>SUM($H$17:$H247)</f>
        <v>1423.0974802243</v>
      </c>
    </row>
    <row r="248" hidden="1" spans="1:10">
      <c r="A248" s="154">
        <v>231</v>
      </c>
      <c r="B248" s="155">
        <f ca="1" t="shared" si="25"/>
        <v>60327</v>
      </c>
      <c r="C248" s="156">
        <f t="shared" si="29"/>
        <v>0</v>
      </c>
      <c r="D248" s="156">
        <f t="shared" si="32"/>
        <v>3570.51624670405</v>
      </c>
      <c r="E248" s="156">
        <f t="shared" si="26"/>
        <v>0</v>
      </c>
      <c r="F248" s="156">
        <f t="shared" si="27"/>
        <v>0</v>
      </c>
      <c r="G248" s="156">
        <f t="shared" si="30"/>
        <v>0</v>
      </c>
      <c r="H248" s="156">
        <f t="shared" si="31"/>
        <v>0</v>
      </c>
      <c r="I248" s="156">
        <f t="shared" si="28"/>
        <v>0</v>
      </c>
      <c r="J248" s="156">
        <f>SUM($H$17:$H248)</f>
        <v>1423.0974802243</v>
      </c>
    </row>
    <row r="249" hidden="1" spans="1:10">
      <c r="A249" s="154">
        <v>232</v>
      </c>
      <c r="B249" s="155">
        <f ca="1" t="shared" si="25"/>
        <v>60388</v>
      </c>
      <c r="C249" s="156">
        <f t="shared" si="29"/>
        <v>0</v>
      </c>
      <c r="D249" s="156">
        <f t="shared" si="32"/>
        <v>3570.51624670405</v>
      </c>
      <c r="E249" s="156">
        <f t="shared" si="26"/>
        <v>0</v>
      </c>
      <c r="F249" s="156">
        <f t="shared" si="27"/>
        <v>0</v>
      </c>
      <c r="G249" s="156">
        <f t="shared" si="30"/>
        <v>0</v>
      </c>
      <c r="H249" s="156">
        <f t="shared" si="31"/>
        <v>0</v>
      </c>
      <c r="I249" s="156">
        <f t="shared" si="28"/>
        <v>0</v>
      </c>
      <c r="J249" s="156">
        <f>SUM($H$17:$H249)</f>
        <v>1423.0974802243</v>
      </c>
    </row>
    <row r="250" hidden="1" spans="1:10">
      <c r="A250" s="154">
        <v>233</v>
      </c>
      <c r="B250" s="155">
        <f ca="1" t="shared" si="25"/>
        <v>60449</v>
      </c>
      <c r="C250" s="156">
        <f t="shared" si="29"/>
        <v>0</v>
      </c>
      <c r="D250" s="156">
        <f t="shared" si="32"/>
        <v>3570.51624670405</v>
      </c>
      <c r="E250" s="156">
        <f t="shared" si="26"/>
        <v>0</v>
      </c>
      <c r="F250" s="156">
        <f t="shared" si="27"/>
        <v>0</v>
      </c>
      <c r="G250" s="156">
        <f t="shared" si="30"/>
        <v>0</v>
      </c>
      <c r="H250" s="156">
        <f t="shared" si="31"/>
        <v>0</v>
      </c>
      <c r="I250" s="156">
        <f t="shared" si="28"/>
        <v>0</v>
      </c>
      <c r="J250" s="156">
        <f>SUM($H$17:$H250)</f>
        <v>1423.0974802243</v>
      </c>
    </row>
    <row r="251" hidden="1" spans="1:10">
      <c r="A251" s="154">
        <v>234</v>
      </c>
      <c r="B251" s="155">
        <f ca="1" t="shared" si="25"/>
        <v>60511</v>
      </c>
      <c r="C251" s="156">
        <f t="shared" si="29"/>
        <v>0</v>
      </c>
      <c r="D251" s="156">
        <f t="shared" si="32"/>
        <v>3570.51624670405</v>
      </c>
      <c r="E251" s="156">
        <f t="shared" si="26"/>
        <v>0</v>
      </c>
      <c r="F251" s="156">
        <f t="shared" si="27"/>
        <v>0</v>
      </c>
      <c r="G251" s="156">
        <f t="shared" si="30"/>
        <v>0</v>
      </c>
      <c r="H251" s="156">
        <f t="shared" si="31"/>
        <v>0</v>
      </c>
      <c r="I251" s="156">
        <f t="shared" si="28"/>
        <v>0</v>
      </c>
      <c r="J251" s="156">
        <f>SUM($H$17:$H251)</f>
        <v>1423.0974802243</v>
      </c>
    </row>
    <row r="252" hidden="1" spans="1:10">
      <c r="A252" s="154">
        <v>235</v>
      </c>
      <c r="B252" s="155">
        <f ca="1" t="shared" si="25"/>
        <v>60572</v>
      </c>
      <c r="C252" s="156">
        <f t="shared" si="29"/>
        <v>0</v>
      </c>
      <c r="D252" s="156">
        <f t="shared" si="32"/>
        <v>3570.51624670405</v>
      </c>
      <c r="E252" s="156">
        <f t="shared" si="26"/>
        <v>0</v>
      </c>
      <c r="F252" s="156">
        <f t="shared" si="27"/>
        <v>0</v>
      </c>
      <c r="G252" s="156">
        <f t="shared" si="30"/>
        <v>0</v>
      </c>
      <c r="H252" s="156">
        <f t="shared" si="31"/>
        <v>0</v>
      </c>
      <c r="I252" s="156">
        <f t="shared" si="28"/>
        <v>0</v>
      </c>
      <c r="J252" s="156">
        <f>SUM($H$17:$H252)</f>
        <v>1423.0974802243</v>
      </c>
    </row>
    <row r="253" hidden="1" spans="1:10">
      <c r="A253" s="154">
        <v>236</v>
      </c>
      <c r="B253" s="155">
        <f ca="1" t="shared" si="25"/>
        <v>60633</v>
      </c>
      <c r="C253" s="156">
        <f t="shared" si="29"/>
        <v>0</v>
      </c>
      <c r="D253" s="156">
        <f t="shared" si="32"/>
        <v>3570.51624670405</v>
      </c>
      <c r="E253" s="156">
        <f t="shared" si="26"/>
        <v>0</v>
      </c>
      <c r="F253" s="156">
        <f t="shared" si="27"/>
        <v>0</v>
      </c>
      <c r="G253" s="156">
        <f t="shared" si="30"/>
        <v>0</v>
      </c>
      <c r="H253" s="156">
        <f t="shared" si="31"/>
        <v>0</v>
      </c>
      <c r="I253" s="156">
        <f t="shared" si="28"/>
        <v>0</v>
      </c>
      <c r="J253" s="156">
        <f>SUM($H$17:$H253)</f>
        <v>1423.0974802243</v>
      </c>
    </row>
    <row r="254" hidden="1" spans="1:10">
      <c r="A254" s="154">
        <v>237</v>
      </c>
      <c r="B254" s="155">
        <f ca="1" t="shared" si="25"/>
        <v>60692</v>
      </c>
      <c r="C254" s="156">
        <f t="shared" si="29"/>
        <v>0</v>
      </c>
      <c r="D254" s="156">
        <f t="shared" si="32"/>
        <v>3570.51624670405</v>
      </c>
      <c r="E254" s="156">
        <f t="shared" si="26"/>
        <v>0</v>
      </c>
      <c r="F254" s="156">
        <f t="shared" si="27"/>
        <v>0</v>
      </c>
      <c r="G254" s="156">
        <f t="shared" si="30"/>
        <v>0</v>
      </c>
      <c r="H254" s="156">
        <f t="shared" si="31"/>
        <v>0</v>
      </c>
      <c r="I254" s="156">
        <f t="shared" si="28"/>
        <v>0</v>
      </c>
      <c r="J254" s="156">
        <f>SUM($H$17:$H254)</f>
        <v>1423.0974802243</v>
      </c>
    </row>
    <row r="255" hidden="1" spans="1:10">
      <c r="A255" s="154">
        <v>238</v>
      </c>
      <c r="B255" s="155">
        <f ca="1" t="shared" si="25"/>
        <v>60753</v>
      </c>
      <c r="C255" s="156">
        <f t="shared" si="29"/>
        <v>0</v>
      </c>
      <c r="D255" s="156">
        <f t="shared" si="32"/>
        <v>3570.51624670405</v>
      </c>
      <c r="E255" s="156">
        <f t="shared" si="26"/>
        <v>0</v>
      </c>
      <c r="F255" s="156">
        <f t="shared" si="27"/>
        <v>0</v>
      </c>
      <c r="G255" s="156">
        <f t="shared" si="30"/>
        <v>0</v>
      </c>
      <c r="H255" s="156">
        <f t="shared" si="31"/>
        <v>0</v>
      </c>
      <c r="I255" s="156">
        <f t="shared" si="28"/>
        <v>0</v>
      </c>
      <c r="J255" s="156">
        <f>SUM($H$17:$H255)</f>
        <v>1423.0974802243</v>
      </c>
    </row>
    <row r="256" hidden="1" spans="1:10">
      <c r="A256" s="154">
        <v>239</v>
      </c>
      <c r="B256" s="155">
        <f ca="1" t="shared" si="25"/>
        <v>60814</v>
      </c>
      <c r="C256" s="156">
        <f t="shared" si="29"/>
        <v>0</v>
      </c>
      <c r="D256" s="156">
        <f t="shared" si="32"/>
        <v>3570.51624670405</v>
      </c>
      <c r="E256" s="156">
        <f t="shared" si="26"/>
        <v>0</v>
      </c>
      <c r="F256" s="156">
        <f t="shared" si="27"/>
        <v>0</v>
      </c>
      <c r="G256" s="156">
        <f t="shared" si="30"/>
        <v>0</v>
      </c>
      <c r="H256" s="156">
        <f t="shared" si="31"/>
        <v>0</v>
      </c>
      <c r="I256" s="156">
        <f t="shared" si="28"/>
        <v>0</v>
      </c>
      <c r="J256" s="156">
        <f>SUM($H$17:$H256)</f>
        <v>1423.0974802243</v>
      </c>
    </row>
    <row r="257" hidden="1" spans="1:10">
      <c r="A257" s="154">
        <v>240</v>
      </c>
      <c r="B257" s="155">
        <f ca="1" t="shared" si="25"/>
        <v>60876</v>
      </c>
      <c r="C257" s="156">
        <f t="shared" si="29"/>
        <v>0</v>
      </c>
      <c r="D257" s="156">
        <f t="shared" si="32"/>
        <v>3570.51624670405</v>
      </c>
      <c r="E257" s="156">
        <f t="shared" si="26"/>
        <v>0</v>
      </c>
      <c r="F257" s="156">
        <f t="shared" si="27"/>
        <v>0</v>
      </c>
      <c r="G257" s="156">
        <f t="shared" si="30"/>
        <v>0</v>
      </c>
      <c r="H257" s="156">
        <f t="shared" si="31"/>
        <v>0</v>
      </c>
      <c r="I257" s="156">
        <f t="shared" si="28"/>
        <v>0</v>
      </c>
      <c r="J257" s="156">
        <f>SUM($H$17:$H257)</f>
        <v>1423.0974802243</v>
      </c>
    </row>
    <row r="258" hidden="1" spans="1:10">
      <c r="A258" s="154">
        <v>241</v>
      </c>
      <c r="B258" s="155">
        <f ca="1" t="shared" si="25"/>
        <v>60937</v>
      </c>
      <c r="C258" s="156">
        <f t="shared" si="29"/>
        <v>0</v>
      </c>
      <c r="D258" s="156">
        <f t="shared" si="32"/>
        <v>3570.51624670405</v>
      </c>
      <c r="E258" s="156">
        <f t="shared" si="26"/>
        <v>0</v>
      </c>
      <c r="F258" s="156">
        <f t="shared" si="27"/>
        <v>0</v>
      </c>
      <c r="G258" s="156">
        <f t="shared" si="30"/>
        <v>0</v>
      </c>
      <c r="H258" s="156">
        <f t="shared" si="31"/>
        <v>0</v>
      </c>
      <c r="I258" s="156">
        <f t="shared" si="28"/>
        <v>0</v>
      </c>
      <c r="J258" s="156">
        <f>SUM($H$17:$H258)</f>
        <v>1423.0974802243</v>
      </c>
    </row>
    <row r="259" hidden="1" spans="1:10">
      <c r="A259" s="154">
        <v>242</v>
      </c>
      <c r="B259" s="155">
        <f ca="1" t="shared" si="25"/>
        <v>60998</v>
      </c>
      <c r="C259" s="156">
        <f t="shared" si="29"/>
        <v>0</v>
      </c>
      <c r="D259" s="156">
        <f t="shared" si="32"/>
        <v>3570.51624670405</v>
      </c>
      <c r="E259" s="156">
        <f t="shared" si="26"/>
        <v>0</v>
      </c>
      <c r="F259" s="156">
        <f t="shared" si="27"/>
        <v>0</v>
      </c>
      <c r="G259" s="156">
        <f t="shared" si="30"/>
        <v>0</v>
      </c>
      <c r="H259" s="156">
        <f t="shared" si="31"/>
        <v>0</v>
      </c>
      <c r="I259" s="156">
        <f t="shared" si="28"/>
        <v>0</v>
      </c>
      <c r="J259" s="156">
        <f>SUM($H$17:$H259)</f>
        <v>1423.0974802243</v>
      </c>
    </row>
    <row r="260" hidden="1" spans="1:10">
      <c r="A260" s="154">
        <v>243</v>
      </c>
      <c r="B260" s="155">
        <f ca="1" t="shared" si="25"/>
        <v>61057</v>
      </c>
      <c r="C260" s="156">
        <f t="shared" si="29"/>
        <v>0</v>
      </c>
      <c r="D260" s="156">
        <f t="shared" si="32"/>
        <v>3570.51624670405</v>
      </c>
      <c r="E260" s="156">
        <f t="shared" si="26"/>
        <v>0</v>
      </c>
      <c r="F260" s="156">
        <f t="shared" si="27"/>
        <v>0</v>
      </c>
      <c r="G260" s="156">
        <f t="shared" si="30"/>
        <v>0</v>
      </c>
      <c r="H260" s="156">
        <f t="shared" si="31"/>
        <v>0</v>
      </c>
      <c r="I260" s="156">
        <f t="shared" si="28"/>
        <v>0</v>
      </c>
      <c r="J260" s="156">
        <f>SUM($H$17:$H260)</f>
        <v>1423.0974802243</v>
      </c>
    </row>
    <row r="261" hidden="1" spans="1:10">
      <c r="A261" s="154">
        <v>244</v>
      </c>
      <c r="B261" s="155">
        <f ca="1" t="shared" si="25"/>
        <v>61118</v>
      </c>
      <c r="C261" s="156">
        <f t="shared" si="29"/>
        <v>0</v>
      </c>
      <c r="D261" s="156">
        <f t="shared" si="32"/>
        <v>3570.51624670405</v>
      </c>
      <c r="E261" s="156">
        <f t="shared" si="26"/>
        <v>0</v>
      </c>
      <c r="F261" s="156">
        <f t="shared" si="27"/>
        <v>0</v>
      </c>
      <c r="G261" s="156">
        <f t="shared" si="30"/>
        <v>0</v>
      </c>
      <c r="H261" s="156">
        <f t="shared" si="31"/>
        <v>0</v>
      </c>
      <c r="I261" s="156">
        <f t="shared" si="28"/>
        <v>0</v>
      </c>
      <c r="J261" s="156">
        <f>SUM($H$17:$H261)</f>
        <v>1423.0974802243</v>
      </c>
    </row>
    <row r="262" hidden="1" spans="1:10">
      <c r="A262" s="154">
        <v>245</v>
      </c>
      <c r="B262" s="155">
        <f ca="1" t="shared" si="25"/>
        <v>61179</v>
      </c>
      <c r="C262" s="156">
        <f t="shared" si="29"/>
        <v>0</v>
      </c>
      <c r="D262" s="156">
        <f t="shared" si="32"/>
        <v>3570.51624670405</v>
      </c>
      <c r="E262" s="156">
        <f t="shared" si="26"/>
        <v>0</v>
      </c>
      <c r="F262" s="156">
        <f t="shared" si="27"/>
        <v>0</v>
      </c>
      <c r="G262" s="156">
        <f t="shared" si="30"/>
        <v>0</v>
      </c>
      <c r="H262" s="156">
        <f t="shared" si="31"/>
        <v>0</v>
      </c>
      <c r="I262" s="156">
        <f t="shared" si="28"/>
        <v>0</v>
      </c>
      <c r="J262" s="156">
        <f>SUM($H$17:$H262)</f>
        <v>1423.0974802243</v>
      </c>
    </row>
    <row r="263" hidden="1" spans="1:10">
      <c r="A263" s="154">
        <v>246</v>
      </c>
      <c r="B263" s="155">
        <f ca="1" t="shared" si="25"/>
        <v>61241</v>
      </c>
      <c r="C263" s="156">
        <f t="shared" si="29"/>
        <v>0</v>
      </c>
      <c r="D263" s="156">
        <f t="shared" si="32"/>
        <v>3570.51624670405</v>
      </c>
      <c r="E263" s="156">
        <f t="shared" si="26"/>
        <v>0</v>
      </c>
      <c r="F263" s="156">
        <f t="shared" si="27"/>
        <v>0</v>
      </c>
      <c r="G263" s="156">
        <f t="shared" si="30"/>
        <v>0</v>
      </c>
      <c r="H263" s="156">
        <f t="shared" si="31"/>
        <v>0</v>
      </c>
      <c r="I263" s="156">
        <f t="shared" si="28"/>
        <v>0</v>
      </c>
      <c r="J263" s="156">
        <f>SUM($H$17:$H263)</f>
        <v>1423.0974802243</v>
      </c>
    </row>
    <row r="264" hidden="1" spans="1:10">
      <c r="A264" s="154">
        <v>247</v>
      </c>
      <c r="B264" s="155">
        <f ca="1" t="shared" si="25"/>
        <v>61302</v>
      </c>
      <c r="C264" s="156">
        <f t="shared" si="29"/>
        <v>0</v>
      </c>
      <c r="D264" s="156">
        <f t="shared" si="32"/>
        <v>3570.51624670405</v>
      </c>
      <c r="E264" s="156">
        <f t="shared" si="26"/>
        <v>0</v>
      </c>
      <c r="F264" s="156">
        <f t="shared" si="27"/>
        <v>0</v>
      </c>
      <c r="G264" s="156">
        <f t="shared" si="30"/>
        <v>0</v>
      </c>
      <c r="H264" s="156">
        <f t="shared" si="31"/>
        <v>0</v>
      </c>
      <c r="I264" s="156">
        <f t="shared" si="28"/>
        <v>0</v>
      </c>
      <c r="J264" s="156">
        <f>SUM($H$17:$H264)</f>
        <v>1423.0974802243</v>
      </c>
    </row>
    <row r="265" hidden="1" spans="1:10">
      <c r="A265" s="154">
        <v>248</v>
      </c>
      <c r="B265" s="155">
        <f ca="1" t="shared" si="25"/>
        <v>61363</v>
      </c>
      <c r="C265" s="156">
        <f t="shared" si="29"/>
        <v>0</v>
      </c>
      <c r="D265" s="156">
        <f t="shared" si="32"/>
        <v>3570.51624670405</v>
      </c>
      <c r="E265" s="156">
        <f t="shared" si="26"/>
        <v>0</v>
      </c>
      <c r="F265" s="156">
        <f t="shared" si="27"/>
        <v>0</v>
      </c>
      <c r="G265" s="156">
        <f t="shared" si="30"/>
        <v>0</v>
      </c>
      <c r="H265" s="156">
        <f t="shared" si="31"/>
        <v>0</v>
      </c>
      <c r="I265" s="156">
        <f t="shared" si="28"/>
        <v>0</v>
      </c>
      <c r="J265" s="156">
        <f>SUM($H$17:$H265)</f>
        <v>1423.0974802243</v>
      </c>
    </row>
    <row r="266" hidden="1" spans="1:10">
      <c r="A266" s="154">
        <v>249</v>
      </c>
      <c r="B266" s="155">
        <f ca="1" t="shared" si="25"/>
        <v>61423</v>
      </c>
      <c r="C266" s="156">
        <f t="shared" si="29"/>
        <v>0</v>
      </c>
      <c r="D266" s="156">
        <f t="shared" si="32"/>
        <v>3570.51624670405</v>
      </c>
      <c r="E266" s="156">
        <f t="shared" si="26"/>
        <v>0</v>
      </c>
      <c r="F266" s="156">
        <f t="shared" si="27"/>
        <v>0</v>
      </c>
      <c r="G266" s="156">
        <f t="shared" si="30"/>
        <v>0</v>
      </c>
      <c r="H266" s="156">
        <f t="shared" si="31"/>
        <v>0</v>
      </c>
      <c r="I266" s="156">
        <f t="shared" si="28"/>
        <v>0</v>
      </c>
      <c r="J266" s="156">
        <f>SUM($H$17:$H266)</f>
        <v>1423.0974802243</v>
      </c>
    </row>
    <row r="267" hidden="1" spans="1:10">
      <c r="A267" s="154">
        <v>250</v>
      </c>
      <c r="B267" s="155">
        <f ca="1" t="shared" si="25"/>
        <v>61484</v>
      </c>
      <c r="C267" s="156">
        <f t="shared" si="29"/>
        <v>0</v>
      </c>
      <c r="D267" s="156">
        <f t="shared" si="32"/>
        <v>3570.51624670405</v>
      </c>
      <c r="E267" s="156">
        <f t="shared" si="26"/>
        <v>0</v>
      </c>
      <c r="F267" s="156">
        <f t="shared" si="27"/>
        <v>0</v>
      </c>
      <c r="G267" s="156">
        <f t="shared" si="30"/>
        <v>0</v>
      </c>
      <c r="H267" s="156">
        <f t="shared" si="31"/>
        <v>0</v>
      </c>
      <c r="I267" s="156">
        <f t="shared" si="28"/>
        <v>0</v>
      </c>
      <c r="J267" s="156">
        <f>SUM($H$17:$H267)</f>
        <v>1423.0974802243</v>
      </c>
    </row>
    <row r="268" hidden="1" spans="1:10">
      <c r="A268" s="154">
        <v>251</v>
      </c>
      <c r="B268" s="155">
        <f ca="1" t="shared" si="25"/>
        <v>61545</v>
      </c>
      <c r="C268" s="156">
        <f t="shared" si="29"/>
        <v>0</v>
      </c>
      <c r="D268" s="156">
        <f t="shared" si="32"/>
        <v>3570.51624670405</v>
      </c>
      <c r="E268" s="156">
        <f t="shared" si="26"/>
        <v>0</v>
      </c>
      <c r="F268" s="156">
        <f t="shared" si="27"/>
        <v>0</v>
      </c>
      <c r="G268" s="156">
        <f t="shared" si="30"/>
        <v>0</v>
      </c>
      <c r="H268" s="156">
        <f t="shared" si="31"/>
        <v>0</v>
      </c>
      <c r="I268" s="156">
        <f t="shared" si="28"/>
        <v>0</v>
      </c>
      <c r="J268" s="156">
        <f>SUM($H$17:$H268)</f>
        <v>1423.0974802243</v>
      </c>
    </row>
    <row r="269" hidden="1" spans="1:10">
      <c r="A269" s="154">
        <v>252</v>
      </c>
      <c r="B269" s="155">
        <f ca="1" t="shared" si="25"/>
        <v>61607</v>
      </c>
      <c r="C269" s="156">
        <f t="shared" si="29"/>
        <v>0</v>
      </c>
      <c r="D269" s="156">
        <f t="shared" si="32"/>
        <v>3570.51624670405</v>
      </c>
      <c r="E269" s="156">
        <f t="shared" si="26"/>
        <v>0</v>
      </c>
      <c r="F269" s="156">
        <f t="shared" si="27"/>
        <v>0</v>
      </c>
      <c r="G269" s="156">
        <f t="shared" si="30"/>
        <v>0</v>
      </c>
      <c r="H269" s="156">
        <f t="shared" si="31"/>
        <v>0</v>
      </c>
      <c r="I269" s="156">
        <f t="shared" si="28"/>
        <v>0</v>
      </c>
      <c r="J269" s="156">
        <f>SUM($H$17:$H269)</f>
        <v>1423.0974802243</v>
      </c>
    </row>
    <row r="270" hidden="1" spans="1:10">
      <c r="A270" s="154">
        <v>253</v>
      </c>
      <c r="B270" s="155">
        <f ca="1" t="shared" si="25"/>
        <v>61668</v>
      </c>
      <c r="C270" s="156">
        <f t="shared" si="29"/>
        <v>0</v>
      </c>
      <c r="D270" s="156">
        <f t="shared" si="32"/>
        <v>3570.51624670405</v>
      </c>
      <c r="E270" s="156">
        <f t="shared" si="26"/>
        <v>0</v>
      </c>
      <c r="F270" s="156">
        <f t="shared" si="27"/>
        <v>0</v>
      </c>
      <c r="G270" s="156">
        <f t="shared" si="30"/>
        <v>0</v>
      </c>
      <c r="H270" s="156">
        <f t="shared" si="31"/>
        <v>0</v>
      </c>
      <c r="I270" s="156">
        <f t="shared" si="28"/>
        <v>0</v>
      </c>
      <c r="J270" s="156">
        <f>SUM($H$17:$H270)</f>
        <v>1423.0974802243</v>
      </c>
    </row>
    <row r="271" hidden="1" spans="1:10">
      <c r="A271" s="154">
        <v>254</v>
      </c>
      <c r="B271" s="155">
        <f ca="1" t="shared" si="25"/>
        <v>61729</v>
      </c>
      <c r="C271" s="156">
        <f t="shared" si="29"/>
        <v>0</v>
      </c>
      <c r="D271" s="156">
        <f t="shared" si="32"/>
        <v>3570.51624670405</v>
      </c>
      <c r="E271" s="156">
        <f t="shared" si="26"/>
        <v>0</v>
      </c>
      <c r="F271" s="156">
        <f t="shared" si="27"/>
        <v>0</v>
      </c>
      <c r="G271" s="156">
        <f t="shared" si="30"/>
        <v>0</v>
      </c>
      <c r="H271" s="156">
        <f t="shared" si="31"/>
        <v>0</v>
      </c>
      <c r="I271" s="156">
        <f t="shared" si="28"/>
        <v>0</v>
      </c>
      <c r="J271" s="156">
        <f>SUM($H$17:$H271)</f>
        <v>1423.0974802243</v>
      </c>
    </row>
    <row r="272" hidden="1" spans="1:10">
      <c r="A272" s="154">
        <v>255</v>
      </c>
      <c r="B272" s="155">
        <f ca="1" t="shared" si="25"/>
        <v>61788</v>
      </c>
      <c r="C272" s="156">
        <f t="shared" si="29"/>
        <v>0</v>
      </c>
      <c r="D272" s="156">
        <f t="shared" si="32"/>
        <v>3570.51624670405</v>
      </c>
      <c r="E272" s="156">
        <f t="shared" si="26"/>
        <v>0</v>
      </c>
      <c r="F272" s="156">
        <f t="shared" si="27"/>
        <v>0</v>
      </c>
      <c r="G272" s="156">
        <f t="shared" si="30"/>
        <v>0</v>
      </c>
      <c r="H272" s="156">
        <f t="shared" si="31"/>
        <v>0</v>
      </c>
      <c r="I272" s="156">
        <f t="shared" si="28"/>
        <v>0</v>
      </c>
      <c r="J272" s="156">
        <f>SUM($H$17:$H272)</f>
        <v>1423.0974802243</v>
      </c>
    </row>
    <row r="273" hidden="1" spans="1:10">
      <c r="A273" s="154">
        <v>256</v>
      </c>
      <c r="B273" s="155">
        <f ca="1" t="shared" si="25"/>
        <v>61849</v>
      </c>
      <c r="C273" s="156">
        <f t="shared" si="29"/>
        <v>0</v>
      </c>
      <c r="D273" s="156">
        <f t="shared" si="32"/>
        <v>3570.51624670405</v>
      </c>
      <c r="E273" s="156">
        <f t="shared" si="26"/>
        <v>0</v>
      </c>
      <c r="F273" s="156">
        <f t="shared" si="27"/>
        <v>0</v>
      </c>
      <c r="G273" s="156">
        <f t="shared" si="30"/>
        <v>0</v>
      </c>
      <c r="H273" s="156">
        <f t="shared" si="31"/>
        <v>0</v>
      </c>
      <c r="I273" s="156">
        <f t="shared" si="28"/>
        <v>0</v>
      </c>
      <c r="J273" s="156">
        <f>SUM($H$17:$H273)</f>
        <v>1423.0974802243</v>
      </c>
    </row>
    <row r="274" hidden="1" spans="1:10">
      <c r="A274" s="154">
        <v>257</v>
      </c>
      <c r="B274" s="155">
        <f ca="1" t="shared" ref="B274:B337" si="33">IF(Pay_Num&lt;&gt;"",DATE(YEAR(Loan_Start),MONTH(Loan_Start)+(Pay_Num)*12/Num_Pmt_Per_Year,DAY(Loan_Start)),"")</f>
        <v>61910</v>
      </c>
      <c r="C274" s="156">
        <f t="shared" si="29"/>
        <v>0</v>
      </c>
      <c r="D274" s="156">
        <f t="shared" si="32"/>
        <v>3570.51624670405</v>
      </c>
      <c r="E274" s="156">
        <f t="shared" ref="E274:E337" si="34">IF(AND(Pay_Num&lt;&gt;"",Sched_Pay+Scheduled_Extra_Payments&lt;Beg_Bal),Scheduled_Extra_Payments,IF(AND(Pay_Num&lt;&gt;"",Beg_Bal-Sched_Pay&gt;0),Beg_Bal-Sched_Pay,IF(Pay_Num&lt;&gt;"",0,"")))</f>
        <v>0</v>
      </c>
      <c r="F274" s="156">
        <f t="shared" ref="F274:F337" si="35">IF(AND(Pay_Num&lt;&gt;"",Sched_Pay+Extra_Pay&lt;Beg_Bal),Sched_Pay+Extra_Pay,IF(Pay_Num&lt;&gt;"",Beg_Bal,""))</f>
        <v>0</v>
      </c>
      <c r="G274" s="156">
        <f t="shared" si="30"/>
        <v>0</v>
      </c>
      <c r="H274" s="156">
        <f t="shared" si="31"/>
        <v>0</v>
      </c>
      <c r="I274" s="156">
        <f t="shared" ref="I274:I337" si="36">IF(AND(Pay_Num&lt;&gt;"",Sched_Pay+Extra_Pay&lt;Beg_Bal),Beg_Bal-Princ,IF(Pay_Num&lt;&gt;"",0,""))</f>
        <v>0</v>
      </c>
      <c r="J274" s="156">
        <f>SUM($H$17:$H274)</f>
        <v>1423.0974802243</v>
      </c>
    </row>
    <row r="275" hidden="1" spans="1:10">
      <c r="A275" s="154">
        <v>258</v>
      </c>
      <c r="B275" s="155">
        <f ca="1" t="shared" si="33"/>
        <v>61972</v>
      </c>
      <c r="C275" s="156">
        <f t="shared" ref="C275:C338" si="37">IF(Pay_Num&lt;&gt;"",I274,"")</f>
        <v>0</v>
      </c>
      <c r="D275" s="156">
        <f t="shared" si="32"/>
        <v>3570.51624670405</v>
      </c>
      <c r="E275" s="156">
        <f t="shared" si="34"/>
        <v>0</v>
      </c>
      <c r="F275" s="156">
        <f t="shared" si="35"/>
        <v>0</v>
      </c>
      <c r="G275" s="156">
        <f t="shared" ref="G275:G338" si="38">IF(Pay_Num&lt;&gt;"",Total_Pay-Int,"")</f>
        <v>0</v>
      </c>
      <c r="H275" s="156">
        <f t="shared" ref="H275:H338" si="39">IF(Pay_Num&lt;&gt;"",Beg_Bal*Interest_Rate/Num_Pmt_Per_Year,"")</f>
        <v>0</v>
      </c>
      <c r="I275" s="156">
        <f t="shared" si="36"/>
        <v>0</v>
      </c>
      <c r="J275" s="156">
        <f>SUM($H$17:$H275)</f>
        <v>1423.0974802243</v>
      </c>
    </row>
    <row r="276" hidden="1" spans="1:10">
      <c r="A276" s="154">
        <v>259</v>
      </c>
      <c r="B276" s="155">
        <f ca="1" t="shared" si="33"/>
        <v>62033</v>
      </c>
      <c r="C276" s="156">
        <f t="shared" si="37"/>
        <v>0</v>
      </c>
      <c r="D276" s="156">
        <f t="shared" ref="D276:D339" si="40">IF(Pay_Num&lt;&gt;"",Scheduled_Monthly_Payment,"")</f>
        <v>3570.51624670405</v>
      </c>
      <c r="E276" s="156">
        <f t="shared" si="34"/>
        <v>0</v>
      </c>
      <c r="F276" s="156">
        <f t="shared" si="35"/>
        <v>0</v>
      </c>
      <c r="G276" s="156">
        <f t="shared" si="38"/>
        <v>0</v>
      </c>
      <c r="H276" s="156">
        <f t="shared" si="39"/>
        <v>0</v>
      </c>
      <c r="I276" s="156">
        <f t="shared" si="36"/>
        <v>0</v>
      </c>
      <c r="J276" s="156">
        <f>SUM($H$17:$H276)</f>
        <v>1423.0974802243</v>
      </c>
    </row>
    <row r="277" hidden="1" spans="1:10">
      <c r="A277" s="154">
        <v>260</v>
      </c>
      <c r="B277" s="155">
        <f ca="1" t="shared" si="33"/>
        <v>62094</v>
      </c>
      <c r="C277" s="156">
        <f t="shared" si="37"/>
        <v>0</v>
      </c>
      <c r="D277" s="156">
        <f t="shared" si="40"/>
        <v>3570.51624670405</v>
      </c>
      <c r="E277" s="156">
        <f t="shared" si="34"/>
        <v>0</v>
      </c>
      <c r="F277" s="156">
        <f t="shared" si="35"/>
        <v>0</v>
      </c>
      <c r="G277" s="156">
        <f t="shared" si="38"/>
        <v>0</v>
      </c>
      <c r="H277" s="156">
        <f t="shared" si="39"/>
        <v>0</v>
      </c>
      <c r="I277" s="156">
        <f t="shared" si="36"/>
        <v>0</v>
      </c>
      <c r="J277" s="156">
        <f>SUM($H$17:$H277)</f>
        <v>1423.0974802243</v>
      </c>
    </row>
    <row r="278" hidden="1" spans="1:10">
      <c r="A278" s="154">
        <v>261</v>
      </c>
      <c r="B278" s="155">
        <f ca="1" t="shared" si="33"/>
        <v>62153</v>
      </c>
      <c r="C278" s="156">
        <f t="shared" si="37"/>
        <v>0</v>
      </c>
      <c r="D278" s="156">
        <f t="shared" si="40"/>
        <v>3570.51624670405</v>
      </c>
      <c r="E278" s="156">
        <f t="shared" si="34"/>
        <v>0</v>
      </c>
      <c r="F278" s="156">
        <f t="shared" si="35"/>
        <v>0</v>
      </c>
      <c r="G278" s="156">
        <f t="shared" si="38"/>
        <v>0</v>
      </c>
      <c r="H278" s="156">
        <f t="shared" si="39"/>
        <v>0</v>
      </c>
      <c r="I278" s="156">
        <f t="shared" si="36"/>
        <v>0</v>
      </c>
      <c r="J278" s="156">
        <f>SUM($H$17:$H278)</f>
        <v>1423.0974802243</v>
      </c>
    </row>
    <row r="279" hidden="1" spans="1:10">
      <c r="A279" s="154">
        <v>262</v>
      </c>
      <c r="B279" s="155">
        <f ca="1" t="shared" si="33"/>
        <v>62214</v>
      </c>
      <c r="C279" s="156">
        <f t="shared" si="37"/>
        <v>0</v>
      </c>
      <c r="D279" s="156">
        <f t="shared" si="40"/>
        <v>3570.51624670405</v>
      </c>
      <c r="E279" s="156">
        <f t="shared" si="34"/>
        <v>0</v>
      </c>
      <c r="F279" s="156">
        <f t="shared" si="35"/>
        <v>0</v>
      </c>
      <c r="G279" s="156">
        <f t="shared" si="38"/>
        <v>0</v>
      </c>
      <c r="H279" s="156">
        <f t="shared" si="39"/>
        <v>0</v>
      </c>
      <c r="I279" s="156">
        <f t="shared" si="36"/>
        <v>0</v>
      </c>
      <c r="J279" s="156">
        <f>SUM($H$17:$H279)</f>
        <v>1423.0974802243</v>
      </c>
    </row>
    <row r="280" hidden="1" spans="1:10">
      <c r="A280" s="154">
        <v>263</v>
      </c>
      <c r="B280" s="155">
        <f ca="1" t="shared" si="33"/>
        <v>62275</v>
      </c>
      <c r="C280" s="156">
        <f t="shared" si="37"/>
        <v>0</v>
      </c>
      <c r="D280" s="156">
        <f t="shared" si="40"/>
        <v>3570.51624670405</v>
      </c>
      <c r="E280" s="156">
        <f t="shared" si="34"/>
        <v>0</v>
      </c>
      <c r="F280" s="156">
        <f t="shared" si="35"/>
        <v>0</v>
      </c>
      <c r="G280" s="156">
        <f t="shared" si="38"/>
        <v>0</v>
      </c>
      <c r="H280" s="156">
        <f t="shared" si="39"/>
        <v>0</v>
      </c>
      <c r="I280" s="156">
        <f t="shared" si="36"/>
        <v>0</v>
      </c>
      <c r="J280" s="156">
        <f>SUM($H$17:$H280)</f>
        <v>1423.0974802243</v>
      </c>
    </row>
    <row r="281" hidden="1" spans="1:10">
      <c r="A281" s="154">
        <v>264</v>
      </c>
      <c r="B281" s="155">
        <f ca="1" t="shared" si="33"/>
        <v>62337</v>
      </c>
      <c r="C281" s="156">
        <f t="shared" si="37"/>
        <v>0</v>
      </c>
      <c r="D281" s="156">
        <f t="shared" si="40"/>
        <v>3570.51624670405</v>
      </c>
      <c r="E281" s="156">
        <f t="shared" si="34"/>
        <v>0</v>
      </c>
      <c r="F281" s="156">
        <f t="shared" si="35"/>
        <v>0</v>
      </c>
      <c r="G281" s="156">
        <f t="shared" si="38"/>
        <v>0</v>
      </c>
      <c r="H281" s="156">
        <f t="shared" si="39"/>
        <v>0</v>
      </c>
      <c r="I281" s="156">
        <f t="shared" si="36"/>
        <v>0</v>
      </c>
      <c r="J281" s="156">
        <f>SUM($H$17:$H281)</f>
        <v>1423.0974802243</v>
      </c>
    </row>
    <row r="282" hidden="1" spans="1:10">
      <c r="A282" s="154">
        <v>265</v>
      </c>
      <c r="B282" s="155">
        <f ca="1" t="shared" si="33"/>
        <v>62398</v>
      </c>
      <c r="C282" s="156">
        <f t="shared" si="37"/>
        <v>0</v>
      </c>
      <c r="D282" s="156">
        <f t="shared" si="40"/>
        <v>3570.51624670405</v>
      </c>
      <c r="E282" s="156">
        <f t="shared" si="34"/>
        <v>0</v>
      </c>
      <c r="F282" s="156">
        <f t="shared" si="35"/>
        <v>0</v>
      </c>
      <c r="G282" s="156">
        <f t="shared" si="38"/>
        <v>0</v>
      </c>
      <c r="H282" s="156">
        <f t="shared" si="39"/>
        <v>0</v>
      </c>
      <c r="I282" s="156">
        <f t="shared" si="36"/>
        <v>0</v>
      </c>
      <c r="J282" s="156">
        <f>SUM($H$17:$H282)</f>
        <v>1423.0974802243</v>
      </c>
    </row>
    <row r="283" hidden="1" spans="1:10">
      <c r="A283" s="154">
        <v>266</v>
      </c>
      <c r="B283" s="155">
        <f ca="1" t="shared" si="33"/>
        <v>62459</v>
      </c>
      <c r="C283" s="156">
        <f t="shared" si="37"/>
        <v>0</v>
      </c>
      <c r="D283" s="156">
        <f t="shared" si="40"/>
        <v>3570.51624670405</v>
      </c>
      <c r="E283" s="156">
        <f t="shared" si="34"/>
        <v>0</v>
      </c>
      <c r="F283" s="156">
        <f t="shared" si="35"/>
        <v>0</v>
      </c>
      <c r="G283" s="156">
        <f t="shared" si="38"/>
        <v>0</v>
      </c>
      <c r="H283" s="156">
        <f t="shared" si="39"/>
        <v>0</v>
      </c>
      <c r="I283" s="156">
        <f t="shared" si="36"/>
        <v>0</v>
      </c>
      <c r="J283" s="156">
        <f>SUM($H$17:$H283)</f>
        <v>1423.0974802243</v>
      </c>
    </row>
    <row r="284" hidden="1" spans="1:10">
      <c r="A284" s="154">
        <v>267</v>
      </c>
      <c r="B284" s="155">
        <f ca="1" t="shared" si="33"/>
        <v>62518</v>
      </c>
      <c r="C284" s="156">
        <f t="shared" si="37"/>
        <v>0</v>
      </c>
      <c r="D284" s="156">
        <f t="shared" si="40"/>
        <v>3570.51624670405</v>
      </c>
      <c r="E284" s="156">
        <f t="shared" si="34"/>
        <v>0</v>
      </c>
      <c r="F284" s="156">
        <f t="shared" si="35"/>
        <v>0</v>
      </c>
      <c r="G284" s="156">
        <f t="shared" si="38"/>
        <v>0</v>
      </c>
      <c r="H284" s="156">
        <f t="shared" si="39"/>
        <v>0</v>
      </c>
      <c r="I284" s="156">
        <f t="shared" si="36"/>
        <v>0</v>
      </c>
      <c r="J284" s="156">
        <f>SUM($H$17:$H284)</f>
        <v>1423.0974802243</v>
      </c>
    </row>
    <row r="285" hidden="1" spans="1:10">
      <c r="A285" s="154">
        <v>268</v>
      </c>
      <c r="B285" s="155">
        <f ca="1" t="shared" si="33"/>
        <v>62579</v>
      </c>
      <c r="C285" s="156">
        <f t="shared" si="37"/>
        <v>0</v>
      </c>
      <c r="D285" s="156">
        <f t="shared" si="40"/>
        <v>3570.51624670405</v>
      </c>
      <c r="E285" s="156">
        <f t="shared" si="34"/>
        <v>0</v>
      </c>
      <c r="F285" s="156">
        <f t="shared" si="35"/>
        <v>0</v>
      </c>
      <c r="G285" s="156">
        <f t="shared" si="38"/>
        <v>0</v>
      </c>
      <c r="H285" s="156">
        <f t="shared" si="39"/>
        <v>0</v>
      </c>
      <c r="I285" s="156">
        <f t="shared" si="36"/>
        <v>0</v>
      </c>
      <c r="J285" s="156">
        <f>SUM($H$17:$H285)</f>
        <v>1423.0974802243</v>
      </c>
    </row>
    <row r="286" hidden="1" spans="1:10">
      <c r="A286" s="154">
        <v>269</v>
      </c>
      <c r="B286" s="155">
        <f ca="1" t="shared" si="33"/>
        <v>62640</v>
      </c>
      <c r="C286" s="156">
        <f t="shared" si="37"/>
        <v>0</v>
      </c>
      <c r="D286" s="156">
        <f t="shared" si="40"/>
        <v>3570.51624670405</v>
      </c>
      <c r="E286" s="156">
        <f t="shared" si="34"/>
        <v>0</v>
      </c>
      <c r="F286" s="156">
        <f t="shared" si="35"/>
        <v>0</v>
      </c>
      <c r="G286" s="156">
        <f t="shared" si="38"/>
        <v>0</v>
      </c>
      <c r="H286" s="156">
        <f t="shared" si="39"/>
        <v>0</v>
      </c>
      <c r="I286" s="156">
        <f t="shared" si="36"/>
        <v>0</v>
      </c>
      <c r="J286" s="156">
        <f>SUM($H$17:$H286)</f>
        <v>1423.0974802243</v>
      </c>
    </row>
    <row r="287" hidden="1" spans="1:10">
      <c r="A287" s="154">
        <v>270</v>
      </c>
      <c r="B287" s="155">
        <f ca="1" t="shared" si="33"/>
        <v>62702</v>
      </c>
      <c r="C287" s="156">
        <f t="shared" si="37"/>
        <v>0</v>
      </c>
      <c r="D287" s="156">
        <f t="shared" si="40"/>
        <v>3570.51624670405</v>
      </c>
      <c r="E287" s="156">
        <f t="shared" si="34"/>
        <v>0</v>
      </c>
      <c r="F287" s="156">
        <f t="shared" si="35"/>
        <v>0</v>
      </c>
      <c r="G287" s="156">
        <f t="shared" si="38"/>
        <v>0</v>
      </c>
      <c r="H287" s="156">
        <f t="shared" si="39"/>
        <v>0</v>
      </c>
      <c r="I287" s="156">
        <f t="shared" si="36"/>
        <v>0</v>
      </c>
      <c r="J287" s="156">
        <f>SUM($H$17:$H287)</f>
        <v>1423.0974802243</v>
      </c>
    </row>
    <row r="288" hidden="1" spans="1:10">
      <c r="A288" s="154">
        <v>271</v>
      </c>
      <c r="B288" s="155">
        <f ca="1" t="shared" si="33"/>
        <v>62763</v>
      </c>
      <c r="C288" s="156">
        <f t="shared" si="37"/>
        <v>0</v>
      </c>
      <c r="D288" s="156">
        <f t="shared" si="40"/>
        <v>3570.51624670405</v>
      </c>
      <c r="E288" s="156">
        <f t="shared" si="34"/>
        <v>0</v>
      </c>
      <c r="F288" s="156">
        <f t="shared" si="35"/>
        <v>0</v>
      </c>
      <c r="G288" s="156">
        <f t="shared" si="38"/>
        <v>0</v>
      </c>
      <c r="H288" s="156">
        <f t="shared" si="39"/>
        <v>0</v>
      </c>
      <c r="I288" s="156">
        <f t="shared" si="36"/>
        <v>0</v>
      </c>
      <c r="J288" s="156">
        <f>SUM($H$17:$H288)</f>
        <v>1423.0974802243</v>
      </c>
    </row>
    <row r="289" hidden="1" spans="1:10">
      <c r="A289" s="154">
        <v>272</v>
      </c>
      <c r="B289" s="155">
        <f ca="1" t="shared" si="33"/>
        <v>62824</v>
      </c>
      <c r="C289" s="156">
        <f t="shared" si="37"/>
        <v>0</v>
      </c>
      <c r="D289" s="156">
        <f t="shared" si="40"/>
        <v>3570.51624670405</v>
      </c>
      <c r="E289" s="156">
        <f t="shared" si="34"/>
        <v>0</v>
      </c>
      <c r="F289" s="156">
        <f t="shared" si="35"/>
        <v>0</v>
      </c>
      <c r="G289" s="156">
        <f t="shared" si="38"/>
        <v>0</v>
      </c>
      <c r="H289" s="156">
        <f t="shared" si="39"/>
        <v>0</v>
      </c>
      <c r="I289" s="156">
        <f t="shared" si="36"/>
        <v>0</v>
      </c>
      <c r="J289" s="156">
        <f>SUM($H$17:$H289)</f>
        <v>1423.0974802243</v>
      </c>
    </row>
    <row r="290" hidden="1" spans="1:10">
      <c r="A290" s="154">
        <v>273</v>
      </c>
      <c r="B290" s="155">
        <f ca="1" t="shared" si="33"/>
        <v>62884</v>
      </c>
      <c r="C290" s="156">
        <f t="shared" si="37"/>
        <v>0</v>
      </c>
      <c r="D290" s="156">
        <f t="shared" si="40"/>
        <v>3570.51624670405</v>
      </c>
      <c r="E290" s="156">
        <f t="shared" si="34"/>
        <v>0</v>
      </c>
      <c r="F290" s="156">
        <f t="shared" si="35"/>
        <v>0</v>
      </c>
      <c r="G290" s="156">
        <f t="shared" si="38"/>
        <v>0</v>
      </c>
      <c r="H290" s="156">
        <f t="shared" si="39"/>
        <v>0</v>
      </c>
      <c r="I290" s="156">
        <f t="shared" si="36"/>
        <v>0</v>
      </c>
      <c r="J290" s="156">
        <f>SUM($H$17:$H290)</f>
        <v>1423.0974802243</v>
      </c>
    </row>
    <row r="291" hidden="1" spans="1:10">
      <c r="A291" s="154">
        <v>274</v>
      </c>
      <c r="B291" s="155">
        <f ca="1" t="shared" si="33"/>
        <v>62945</v>
      </c>
      <c r="C291" s="156">
        <f t="shared" si="37"/>
        <v>0</v>
      </c>
      <c r="D291" s="156">
        <f t="shared" si="40"/>
        <v>3570.51624670405</v>
      </c>
      <c r="E291" s="156">
        <f t="shared" si="34"/>
        <v>0</v>
      </c>
      <c r="F291" s="156">
        <f t="shared" si="35"/>
        <v>0</v>
      </c>
      <c r="G291" s="156">
        <f t="shared" si="38"/>
        <v>0</v>
      </c>
      <c r="H291" s="156">
        <f t="shared" si="39"/>
        <v>0</v>
      </c>
      <c r="I291" s="156">
        <f t="shared" si="36"/>
        <v>0</v>
      </c>
      <c r="J291" s="156">
        <f>SUM($H$17:$H291)</f>
        <v>1423.0974802243</v>
      </c>
    </row>
    <row r="292" hidden="1" spans="1:10">
      <c r="A292" s="154">
        <v>275</v>
      </c>
      <c r="B292" s="155">
        <f ca="1" t="shared" si="33"/>
        <v>63006</v>
      </c>
      <c r="C292" s="156">
        <f t="shared" si="37"/>
        <v>0</v>
      </c>
      <c r="D292" s="156">
        <f t="shared" si="40"/>
        <v>3570.51624670405</v>
      </c>
      <c r="E292" s="156">
        <f t="shared" si="34"/>
        <v>0</v>
      </c>
      <c r="F292" s="156">
        <f t="shared" si="35"/>
        <v>0</v>
      </c>
      <c r="G292" s="156">
        <f t="shared" si="38"/>
        <v>0</v>
      </c>
      <c r="H292" s="156">
        <f t="shared" si="39"/>
        <v>0</v>
      </c>
      <c r="I292" s="156">
        <f t="shared" si="36"/>
        <v>0</v>
      </c>
      <c r="J292" s="156">
        <f>SUM($H$17:$H292)</f>
        <v>1423.0974802243</v>
      </c>
    </row>
    <row r="293" hidden="1" spans="1:10">
      <c r="A293" s="154">
        <v>276</v>
      </c>
      <c r="B293" s="155">
        <f ca="1" t="shared" si="33"/>
        <v>63068</v>
      </c>
      <c r="C293" s="156">
        <f t="shared" si="37"/>
        <v>0</v>
      </c>
      <c r="D293" s="156">
        <f t="shared" si="40"/>
        <v>3570.51624670405</v>
      </c>
      <c r="E293" s="156">
        <f t="shared" si="34"/>
        <v>0</v>
      </c>
      <c r="F293" s="156">
        <f t="shared" si="35"/>
        <v>0</v>
      </c>
      <c r="G293" s="156">
        <f t="shared" si="38"/>
        <v>0</v>
      </c>
      <c r="H293" s="156">
        <f t="shared" si="39"/>
        <v>0</v>
      </c>
      <c r="I293" s="156">
        <f t="shared" si="36"/>
        <v>0</v>
      </c>
      <c r="J293" s="156">
        <f>SUM($H$17:$H293)</f>
        <v>1423.0974802243</v>
      </c>
    </row>
    <row r="294" hidden="1" spans="1:10">
      <c r="A294" s="154">
        <v>277</v>
      </c>
      <c r="B294" s="155">
        <f ca="1" t="shared" si="33"/>
        <v>63129</v>
      </c>
      <c r="C294" s="156">
        <f t="shared" si="37"/>
        <v>0</v>
      </c>
      <c r="D294" s="156">
        <f t="shared" si="40"/>
        <v>3570.51624670405</v>
      </c>
      <c r="E294" s="156">
        <f t="shared" si="34"/>
        <v>0</v>
      </c>
      <c r="F294" s="156">
        <f t="shared" si="35"/>
        <v>0</v>
      </c>
      <c r="G294" s="156">
        <f t="shared" si="38"/>
        <v>0</v>
      </c>
      <c r="H294" s="156">
        <f t="shared" si="39"/>
        <v>0</v>
      </c>
      <c r="I294" s="156">
        <f t="shared" si="36"/>
        <v>0</v>
      </c>
      <c r="J294" s="156">
        <f>SUM($H$17:$H294)</f>
        <v>1423.0974802243</v>
      </c>
    </row>
    <row r="295" hidden="1" spans="1:10">
      <c r="A295" s="154">
        <v>278</v>
      </c>
      <c r="B295" s="155">
        <f ca="1" t="shared" si="33"/>
        <v>63190</v>
      </c>
      <c r="C295" s="156">
        <f t="shared" si="37"/>
        <v>0</v>
      </c>
      <c r="D295" s="156">
        <f t="shared" si="40"/>
        <v>3570.51624670405</v>
      </c>
      <c r="E295" s="156">
        <f t="shared" si="34"/>
        <v>0</v>
      </c>
      <c r="F295" s="156">
        <f t="shared" si="35"/>
        <v>0</v>
      </c>
      <c r="G295" s="156">
        <f t="shared" si="38"/>
        <v>0</v>
      </c>
      <c r="H295" s="156">
        <f t="shared" si="39"/>
        <v>0</v>
      </c>
      <c r="I295" s="156">
        <f t="shared" si="36"/>
        <v>0</v>
      </c>
      <c r="J295" s="156">
        <f>SUM($H$17:$H295)</f>
        <v>1423.0974802243</v>
      </c>
    </row>
    <row r="296" hidden="1" spans="1:10">
      <c r="A296" s="154">
        <v>279</v>
      </c>
      <c r="B296" s="155">
        <f ca="1" t="shared" si="33"/>
        <v>63249</v>
      </c>
      <c r="C296" s="156">
        <f t="shared" si="37"/>
        <v>0</v>
      </c>
      <c r="D296" s="156">
        <f t="shared" si="40"/>
        <v>3570.51624670405</v>
      </c>
      <c r="E296" s="156">
        <f t="shared" si="34"/>
        <v>0</v>
      </c>
      <c r="F296" s="156">
        <f t="shared" si="35"/>
        <v>0</v>
      </c>
      <c r="G296" s="156">
        <f t="shared" si="38"/>
        <v>0</v>
      </c>
      <c r="H296" s="156">
        <f t="shared" si="39"/>
        <v>0</v>
      </c>
      <c r="I296" s="156">
        <f t="shared" si="36"/>
        <v>0</v>
      </c>
      <c r="J296" s="156">
        <f>SUM($H$17:$H296)</f>
        <v>1423.0974802243</v>
      </c>
    </row>
    <row r="297" hidden="1" spans="1:10">
      <c r="A297" s="154">
        <v>280</v>
      </c>
      <c r="B297" s="155">
        <f ca="1" t="shared" si="33"/>
        <v>63310</v>
      </c>
      <c r="C297" s="156">
        <f t="shared" si="37"/>
        <v>0</v>
      </c>
      <c r="D297" s="156">
        <f t="shared" si="40"/>
        <v>3570.51624670405</v>
      </c>
      <c r="E297" s="156">
        <f t="shared" si="34"/>
        <v>0</v>
      </c>
      <c r="F297" s="156">
        <f t="shared" si="35"/>
        <v>0</v>
      </c>
      <c r="G297" s="156">
        <f t="shared" si="38"/>
        <v>0</v>
      </c>
      <c r="H297" s="156">
        <f t="shared" si="39"/>
        <v>0</v>
      </c>
      <c r="I297" s="156">
        <f t="shared" si="36"/>
        <v>0</v>
      </c>
      <c r="J297" s="156">
        <f>SUM($H$17:$H297)</f>
        <v>1423.0974802243</v>
      </c>
    </row>
    <row r="298" hidden="1" spans="1:10">
      <c r="A298" s="154">
        <v>281</v>
      </c>
      <c r="B298" s="155">
        <f ca="1" t="shared" si="33"/>
        <v>63371</v>
      </c>
      <c r="C298" s="156">
        <f t="shared" si="37"/>
        <v>0</v>
      </c>
      <c r="D298" s="156">
        <f t="shared" si="40"/>
        <v>3570.51624670405</v>
      </c>
      <c r="E298" s="156">
        <f t="shared" si="34"/>
        <v>0</v>
      </c>
      <c r="F298" s="156">
        <f t="shared" si="35"/>
        <v>0</v>
      </c>
      <c r="G298" s="156">
        <f t="shared" si="38"/>
        <v>0</v>
      </c>
      <c r="H298" s="156">
        <f t="shared" si="39"/>
        <v>0</v>
      </c>
      <c r="I298" s="156">
        <f t="shared" si="36"/>
        <v>0</v>
      </c>
      <c r="J298" s="156">
        <f>SUM($H$17:$H298)</f>
        <v>1423.0974802243</v>
      </c>
    </row>
    <row r="299" hidden="1" spans="1:10">
      <c r="A299" s="154">
        <v>282</v>
      </c>
      <c r="B299" s="155">
        <f ca="1" t="shared" si="33"/>
        <v>63433</v>
      </c>
      <c r="C299" s="156">
        <f t="shared" si="37"/>
        <v>0</v>
      </c>
      <c r="D299" s="156">
        <f t="shared" si="40"/>
        <v>3570.51624670405</v>
      </c>
      <c r="E299" s="156">
        <f t="shared" si="34"/>
        <v>0</v>
      </c>
      <c r="F299" s="156">
        <f t="shared" si="35"/>
        <v>0</v>
      </c>
      <c r="G299" s="156">
        <f t="shared" si="38"/>
        <v>0</v>
      </c>
      <c r="H299" s="156">
        <f t="shared" si="39"/>
        <v>0</v>
      </c>
      <c r="I299" s="156">
        <f t="shared" si="36"/>
        <v>0</v>
      </c>
      <c r="J299" s="156">
        <f>SUM($H$17:$H299)</f>
        <v>1423.0974802243</v>
      </c>
    </row>
    <row r="300" hidden="1" spans="1:10">
      <c r="A300" s="154">
        <v>283</v>
      </c>
      <c r="B300" s="155">
        <f ca="1" t="shared" si="33"/>
        <v>63494</v>
      </c>
      <c r="C300" s="156">
        <f t="shared" si="37"/>
        <v>0</v>
      </c>
      <c r="D300" s="156">
        <f t="shared" si="40"/>
        <v>3570.51624670405</v>
      </c>
      <c r="E300" s="156">
        <f t="shared" si="34"/>
        <v>0</v>
      </c>
      <c r="F300" s="156">
        <f t="shared" si="35"/>
        <v>0</v>
      </c>
      <c r="G300" s="156">
        <f t="shared" si="38"/>
        <v>0</v>
      </c>
      <c r="H300" s="156">
        <f t="shared" si="39"/>
        <v>0</v>
      </c>
      <c r="I300" s="156">
        <f t="shared" si="36"/>
        <v>0</v>
      </c>
      <c r="J300" s="156">
        <f>SUM($H$17:$H300)</f>
        <v>1423.0974802243</v>
      </c>
    </row>
    <row r="301" hidden="1" spans="1:10">
      <c r="A301" s="154">
        <v>284</v>
      </c>
      <c r="B301" s="155">
        <f ca="1" t="shared" si="33"/>
        <v>63555</v>
      </c>
      <c r="C301" s="156">
        <f t="shared" si="37"/>
        <v>0</v>
      </c>
      <c r="D301" s="156">
        <f t="shared" si="40"/>
        <v>3570.51624670405</v>
      </c>
      <c r="E301" s="156">
        <f t="shared" si="34"/>
        <v>0</v>
      </c>
      <c r="F301" s="156">
        <f t="shared" si="35"/>
        <v>0</v>
      </c>
      <c r="G301" s="156">
        <f t="shared" si="38"/>
        <v>0</v>
      </c>
      <c r="H301" s="156">
        <f t="shared" si="39"/>
        <v>0</v>
      </c>
      <c r="I301" s="156">
        <f t="shared" si="36"/>
        <v>0</v>
      </c>
      <c r="J301" s="156">
        <f>SUM($H$17:$H301)</f>
        <v>1423.0974802243</v>
      </c>
    </row>
    <row r="302" hidden="1" spans="1:10">
      <c r="A302" s="154">
        <v>285</v>
      </c>
      <c r="B302" s="155">
        <f ca="1" t="shared" si="33"/>
        <v>63614</v>
      </c>
      <c r="C302" s="156">
        <f t="shared" si="37"/>
        <v>0</v>
      </c>
      <c r="D302" s="156">
        <f t="shared" si="40"/>
        <v>3570.51624670405</v>
      </c>
      <c r="E302" s="156">
        <f t="shared" si="34"/>
        <v>0</v>
      </c>
      <c r="F302" s="156">
        <f t="shared" si="35"/>
        <v>0</v>
      </c>
      <c r="G302" s="156">
        <f t="shared" si="38"/>
        <v>0</v>
      </c>
      <c r="H302" s="156">
        <f t="shared" si="39"/>
        <v>0</v>
      </c>
      <c r="I302" s="156">
        <f t="shared" si="36"/>
        <v>0</v>
      </c>
      <c r="J302" s="156">
        <f>SUM($H$17:$H302)</f>
        <v>1423.0974802243</v>
      </c>
    </row>
    <row r="303" hidden="1" spans="1:10">
      <c r="A303" s="154">
        <v>286</v>
      </c>
      <c r="B303" s="155">
        <f ca="1" t="shared" si="33"/>
        <v>63675</v>
      </c>
      <c r="C303" s="156">
        <f t="shared" si="37"/>
        <v>0</v>
      </c>
      <c r="D303" s="156">
        <f t="shared" si="40"/>
        <v>3570.51624670405</v>
      </c>
      <c r="E303" s="156">
        <f t="shared" si="34"/>
        <v>0</v>
      </c>
      <c r="F303" s="156">
        <f t="shared" si="35"/>
        <v>0</v>
      </c>
      <c r="G303" s="156">
        <f t="shared" si="38"/>
        <v>0</v>
      </c>
      <c r="H303" s="156">
        <f t="shared" si="39"/>
        <v>0</v>
      </c>
      <c r="I303" s="156">
        <f t="shared" si="36"/>
        <v>0</v>
      </c>
      <c r="J303" s="156">
        <f>SUM($H$17:$H303)</f>
        <v>1423.0974802243</v>
      </c>
    </row>
    <row r="304" hidden="1" spans="1:10">
      <c r="A304" s="154">
        <v>287</v>
      </c>
      <c r="B304" s="155">
        <f ca="1" t="shared" si="33"/>
        <v>63736</v>
      </c>
      <c r="C304" s="156">
        <f t="shared" si="37"/>
        <v>0</v>
      </c>
      <c r="D304" s="156">
        <f t="shared" si="40"/>
        <v>3570.51624670405</v>
      </c>
      <c r="E304" s="156">
        <f t="shared" si="34"/>
        <v>0</v>
      </c>
      <c r="F304" s="156">
        <f t="shared" si="35"/>
        <v>0</v>
      </c>
      <c r="G304" s="156">
        <f t="shared" si="38"/>
        <v>0</v>
      </c>
      <c r="H304" s="156">
        <f t="shared" si="39"/>
        <v>0</v>
      </c>
      <c r="I304" s="156">
        <f t="shared" si="36"/>
        <v>0</v>
      </c>
      <c r="J304" s="156">
        <f>SUM($H$17:$H304)</f>
        <v>1423.0974802243</v>
      </c>
    </row>
    <row r="305" hidden="1" spans="1:10">
      <c r="A305" s="154">
        <v>288</v>
      </c>
      <c r="B305" s="155">
        <f ca="1" t="shared" si="33"/>
        <v>63798</v>
      </c>
      <c r="C305" s="156">
        <f t="shared" si="37"/>
        <v>0</v>
      </c>
      <c r="D305" s="156">
        <f t="shared" si="40"/>
        <v>3570.51624670405</v>
      </c>
      <c r="E305" s="156">
        <f t="shared" si="34"/>
        <v>0</v>
      </c>
      <c r="F305" s="156">
        <f t="shared" si="35"/>
        <v>0</v>
      </c>
      <c r="G305" s="156">
        <f t="shared" si="38"/>
        <v>0</v>
      </c>
      <c r="H305" s="156">
        <f t="shared" si="39"/>
        <v>0</v>
      </c>
      <c r="I305" s="156">
        <f t="shared" si="36"/>
        <v>0</v>
      </c>
      <c r="J305" s="156">
        <f>SUM($H$17:$H305)</f>
        <v>1423.0974802243</v>
      </c>
    </row>
    <row r="306" hidden="1" spans="1:10">
      <c r="A306" s="154">
        <v>289</v>
      </c>
      <c r="B306" s="155">
        <f ca="1" t="shared" si="33"/>
        <v>63859</v>
      </c>
      <c r="C306" s="156">
        <f t="shared" si="37"/>
        <v>0</v>
      </c>
      <c r="D306" s="156">
        <f t="shared" si="40"/>
        <v>3570.51624670405</v>
      </c>
      <c r="E306" s="156">
        <f t="shared" si="34"/>
        <v>0</v>
      </c>
      <c r="F306" s="156">
        <f t="shared" si="35"/>
        <v>0</v>
      </c>
      <c r="G306" s="156">
        <f t="shared" si="38"/>
        <v>0</v>
      </c>
      <c r="H306" s="156">
        <f t="shared" si="39"/>
        <v>0</v>
      </c>
      <c r="I306" s="156">
        <f t="shared" si="36"/>
        <v>0</v>
      </c>
      <c r="J306" s="156">
        <f>SUM($H$17:$H306)</f>
        <v>1423.0974802243</v>
      </c>
    </row>
    <row r="307" hidden="1" spans="1:10">
      <c r="A307" s="154">
        <v>290</v>
      </c>
      <c r="B307" s="155">
        <f ca="1" t="shared" si="33"/>
        <v>63920</v>
      </c>
      <c r="C307" s="156">
        <f t="shared" si="37"/>
        <v>0</v>
      </c>
      <c r="D307" s="156">
        <f t="shared" si="40"/>
        <v>3570.51624670405</v>
      </c>
      <c r="E307" s="156">
        <f t="shared" si="34"/>
        <v>0</v>
      </c>
      <c r="F307" s="156">
        <f t="shared" si="35"/>
        <v>0</v>
      </c>
      <c r="G307" s="156">
        <f t="shared" si="38"/>
        <v>0</v>
      </c>
      <c r="H307" s="156">
        <f t="shared" si="39"/>
        <v>0</v>
      </c>
      <c r="I307" s="156">
        <f t="shared" si="36"/>
        <v>0</v>
      </c>
      <c r="J307" s="156">
        <f>SUM($H$17:$H307)</f>
        <v>1423.0974802243</v>
      </c>
    </row>
    <row r="308" hidden="1" spans="1:10">
      <c r="A308" s="154">
        <v>291</v>
      </c>
      <c r="B308" s="155">
        <f ca="1" t="shared" si="33"/>
        <v>63979</v>
      </c>
      <c r="C308" s="156">
        <f t="shared" si="37"/>
        <v>0</v>
      </c>
      <c r="D308" s="156">
        <f t="shared" si="40"/>
        <v>3570.51624670405</v>
      </c>
      <c r="E308" s="156">
        <f t="shared" si="34"/>
        <v>0</v>
      </c>
      <c r="F308" s="156">
        <f t="shared" si="35"/>
        <v>0</v>
      </c>
      <c r="G308" s="156">
        <f t="shared" si="38"/>
        <v>0</v>
      </c>
      <c r="H308" s="156">
        <f t="shared" si="39"/>
        <v>0</v>
      </c>
      <c r="I308" s="156">
        <f t="shared" si="36"/>
        <v>0</v>
      </c>
      <c r="J308" s="156">
        <f>SUM($H$17:$H308)</f>
        <v>1423.0974802243</v>
      </c>
    </row>
    <row r="309" hidden="1" spans="1:10">
      <c r="A309" s="154">
        <v>292</v>
      </c>
      <c r="B309" s="155">
        <f ca="1" t="shared" si="33"/>
        <v>64040</v>
      </c>
      <c r="C309" s="156">
        <f t="shared" si="37"/>
        <v>0</v>
      </c>
      <c r="D309" s="156">
        <f t="shared" si="40"/>
        <v>3570.51624670405</v>
      </c>
      <c r="E309" s="156">
        <f t="shared" si="34"/>
        <v>0</v>
      </c>
      <c r="F309" s="156">
        <f t="shared" si="35"/>
        <v>0</v>
      </c>
      <c r="G309" s="156">
        <f t="shared" si="38"/>
        <v>0</v>
      </c>
      <c r="H309" s="156">
        <f t="shared" si="39"/>
        <v>0</v>
      </c>
      <c r="I309" s="156">
        <f t="shared" si="36"/>
        <v>0</v>
      </c>
      <c r="J309" s="156">
        <f>SUM($H$17:$H309)</f>
        <v>1423.0974802243</v>
      </c>
    </row>
    <row r="310" hidden="1" spans="1:10">
      <c r="A310" s="154">
        <v>293</v>
      </c>
      <c r="B310" s="155">
        <f ca="1" t="shared" si="33"/>
        <v>64101</v>
      </c>
      <c r="C310" s="156">
        <f t="shared" si="37"/>
        <v>0</v>
      </c>
      <c r="D310" s="156">
        <f t="shared" si="40"/>
        <v>3570.51624670405</v>
      </c>
      <c r="E310" s="156">
        <f t="shared" si="34"/>
        <v>0</v>
      </c>
      <c r="F310" s="156">
        <f t="shared" si="35"/>
        <v>0</v>
      </c>
      <c r="G310" s="156">
        <f t="shared" si="38"/>
        <v>0</v>
      </c>
      <c r="H310" s="156">
        <f t="shared" si="39"/>
        <v>0</v>
      </c>
      <c r="I310" s="156">
        <f t="shared" si="36"/>
        <v>0</v>
      </c>
      <c r="J310" s="156">
        <f>SUM($H$17:$H310)</f>
        <v>1423.0974802243</v>
      </c>
    </row>
    <row r="311" hidden="1" spans="1:10">
      <c r="A311" s="154">
        <v>294</v>
      </c>
      <c r="B311" s="155">
        <f ca="1" t="shared" si="33"/>
        <v>64163</v>
      </c>
      <c r="C311" s="156">
        <f t="shared" si="37"/>
        <v>0</v>
      </c>
      <c r="D311" s="156">
        <f t="shared" si="40"/>
        <v>3570.51624670405</v>
      </c>
      <c r="E311" s="156">
        <f t="shared" si="34"/>
        <v>0</v>
      </c>
      <c r="F311" s="156">
        <f t="shared" si="35"/>
        <v>0</v>
      </c>
      <c r="G311" s="156">
        <f t="shared" si="38"/>
        <v>0</v>
      </c>
      <c r="H311" s="156">
        <f t="shared" si="39"/>
        <v>0</v>
      </c>
      <c r="I311" s="156">
        <f t="shared" si="36"/>
        <v>0</v>
      </c>
      <c r="J311" s="156">
        <f>SUM($H$17:$H311)</f>
        <v>1423.0974802243</v>
      </c>
    </row>
    <row r="312" hidden="1" spans="1:10">
      <c r="A312" s="154">
        <v>295</v>
      </c>
      <c r="B312" s="155">
        <f ca="1" t="shared" si="33"/>
        <v>64224</v>
      </c>
      <c r="C312" s="156">
        <f t="shared" si="37"/>
        <v>0</v>
      </c>
      <c r="D312" s="156">
        <f t="shared" si="40"/>
        <v>3570.51624670405</v>
      </c>
      <c r="E312" s="156">
        <f t="shared" si="34"/>
        <v>0</v>
      </c>
      <c r="F312" s="156">
        <f t="shared" si="35"/>
        <v>0</v>
      </c>
      <c r="G312" s="156">
        <f t="shared" si="38"/>
        <v>0</v>
      </c>
      <c r="H312" s="156">
        <f t="shared" si="39"/>
        <v>0</v>
      </c>
      <c r="I312" s="156">
        <f t="shared" si="36"/>
        <v>0</v>
      </c>
      <c r="J312" s="156">
        <f>SUM($H$17:$H312)</f>
        <v>1423.0974802243</v>
      </c>
    </row>
    <row r="313" hidden="1" spans="1:10">
      <c r="A313" s="154">
        <v>296</v>
      </c>
      <c r="B313" s="155">
        <f ca="1" t="shared" si="33"/>
        <v>64285</v>
      </c>
      <c r="C313" s="156">
        <f t="shared" si="37"/>
        <v>0</v>
      </c>
      <c r="D313" s="156">
        <f t="shared" si="40"/>
        <v>3570.51624670405</v>
      </c>
      <c r="E313" s="156">
        <f t="shared" si="34"/>
        <v>0</v>
      </c>
      <c r="F313" s="156">
        <f t="shared" si="35"/>
        <v>0</v>
      </c>
      <c r="G313" s="156">
        <f t="shared" si="38"/>
        <v>0</v>
      </c>
      <c r="H313" s="156">
        <f t="shared" si="39"/>
        <v>0</v>
      </c>
      <c r="I313" s="156">
        <f t="shared" si="36"/>
        <v>0</v>
      </c>
      <c r="J313" s="156">
        <f>SUM($H$17:$H313)</f>
        <v>1423.0974802243</v>
      </c>
    </row>
    <row r="314" hidden="1" spans="1:10">
      <c r="A314" s="154">
        <v>297</v>
      </c>
      <c r="B314" s="155">
        <f ca="1" t="shared" si="33"/>
        <v>64345</v>
      </c>
      <c r="C314" s="156">
        <f t="shared" si="37"/>
        <v>0</v>
      </c>
      <c r="D314" s="156">
        <f t="shared" si="40"/>
        <v>3570.51624670405</v>
      </c>
      <c r="E314" s="156">
        <f t="shared" si="34"/>
        <v>0</v>
      </c>
      <c r="F314" s="156">
        <f t="shared" si="35"/>
        <v>0</v>
      </c>
      <c r="G314" s="156">
        <f t="shared" si="38"/>
        <v>0</v>
      </c>
      <c r="H314" s="156">
        <f t="shared" si="39"/>
        <v>0</v>
      </c>
      <c r="I314" s="156">
        <f t="shared" si="36"/>
        <v>0</v>
      </c>
      <c r="J314" s="156">
        <f>SUM($H$17:$H314)</f>
        <v>1423.0974802243</v>
      </c>
    </row>
    <row r="315" hidden="1" spans="1:10">
      <c r="A315" s="154">
        <v>298</v>
      </c>
      <c r="B315" s="155">
        <f ca="1" t="shared" si="33"/>
        <v>64406</v>
      </c>
      <c r="C315" s="156">
        <f t="shared" si="37"/>
        <v>0</v>
      </c>
      <c r="D315" s="156">
        <f t="shared" si="40"/>
        <v>3570.51624670405</v>
      </c>
      <c r="E315" s="156">
        <f t="shared" si="34"/>
        <v>0</v>
      </c>
      <c r="F315" s="156">
        <f t="shared" si="35"/>
        <v>0</v>
      </c>
      <c r="G315" s="156">
        <f t="shared" si="38"/>
        <v>0</v>
      </c>
      <c r="H315" s="156">
        <f t="shared" si="39"/>
        <v>0</v>
      </c>
      <c r="I315" s="156">
        <f t="shared" si="36"/>
        <v>0</v>
      </c>
      <c r="J315" s="156">
        <f>SUM($H$17:$H315)</f>
        <v>1423.0974802243</v>
      </c>
    </row>
    <row r="316" hidden="1" spans="1:10">
      <c r="A316" s="154">
        <v>299</v>
      </c>
      <c r="B316" s="155">
        <f ca="1" t="shared" si="33"/>
        <v>64467</v>
      </c>
      <c r="C316" s="156">
        <f t="shared" si="37"/>
        <v>0</v>
      </c>
      <c r="D316" s="156">
        <f t="shared" si="40"/>
        <v>3570.51624670405</v>
      </c>
      <c r="E316" s="156">
        <f t="shared" si="34"/>
        <v>0</v>
      </c>
      <c r="F316" s="156">
        <f t="shared" si="35"/>
        <v>0</v>
      </c>
      <c r="G316" s="156">
        <f t="shared" si="38"/>
        <v>0</v>
      </c>
      <c r="H316" s="156">
        <f t="shared" si="39"/>
        <v>0</v>
      </c>
      <c r="I316" s="156">
        <f t="shared" si="36"/>
        <v>0</v>
      </c>
      <c r="J316" s="156">
        <f>SUM($H$17:$H316)</f>
        <v>1423.0974802243</v>
      </c>
    </row>
    <row r="317" hidden="1" spans="1:10">
      <c r="A317" s="154">
        <v>300</v>
      </c>
      <c r="B317" s="155">
        <f ca="1" t="shared" si="33"/>
        <v>64529</v>
      </c>
      <c r="C317" s="156">
        <f t="shared" si="37"/>
        <v>0</v>
      </c>
      <c r="D317" s="156">
        <f t="shared" si="40"/>
        <v>3570.51624670405</v>
      </c>
      <c r="E317" s="156">
        <f t="shared" si="34"/>
        <v>0</v>
      </c>
      <c r="F317" s="156">
        <f t="shared" si="35"/>
        <v>0</v>
      </c>
      <c r="G317" s="156">
        <f t="shared" si="38"/>
        <v>0</v>
      </c>
      <c r="H317" s="156">
        <f t="shared" si="39"/>
        <v>0</v>
      </c>
      <c r="I317" s="156">
        <f t="shared" si="36"/>
        <v>0</v>
      </c>
      <c r="J317" s="156">
        <f>SUM($H$17:$H317)</f>
        <v>1423.0974802243</v>
      </c>
    </row>
    <row r="318" hidden="1" spans="1:10">
      <c r="A318" s="154">
        <v>301</v>
      </c>
      <c r="B318" s="155">
        <f ca="1" t="shared" si="33"/>
        <v>64590</v>
      </c>
      <c r="C318" s="156">
        <f t="shared" si="37"/>
        <v>0</v>
      </c>
      <c r="D318" s="156">
        <f t="shared" si="40"/>
        <v>3570.51624670405</v>
      </c>
      <c r="E318" s="156">
        <f t="shared" si="34"/>
        <v>0</v>
      </c>
      <c r="F318" s="156">
        <f t="shared" si="35"/>
        <v>0</v>
      </c>
      <c r="G318" s="156">
        <f t="shared" si="38"/>
        <v>0</v>
      </c>
      <c r="H318" s="156">
        <f t="shared" si="39"/>
        <v>0</v>
      </c>
      <c r="I318" s="156">
        <f t="shared" si="36"/>
        <v>0</v>
      </c>
      <c r="J318" s="156">
        <f>SUM($H$17:$H318)</f>
        <v>1423.0974802243</v>
      </c>
    </row>
    <row r="319" hidden="1" spans="1:10">
      <c r="A319" s="154">
        <v>302</v>
      </c>
      <c r="B319" s="155">
        <f ca="1" t="shared" si="33"/>
        <v>64651</v>
      </c>
      <c r="C319" s="156">
        <f t="shared" si="37"/>
        <v>0</v>
      </c>
      <c r="D319" s="156">
        <f t="shared" si="40"/>
        <v>3570.51624670405</v>
      </c>
      <c r="E319" s="156">
        <f t="shared" si="34"/>
        <v>0</v>
      </c>
      <c r="F319" s="156">
        <f t="shared" si="35"/>
        <v>0</v>
      </c>
      <c r="G319" s="156">
        <f t="shared" si="38"/>
        <v>0</v>
      </c>
      <c r="H319" s="156">
        <f t="shared" si="39"/>
        <v>0</v>
      </c>
      <c r="I319" s="156">
        <f t="shared" si="36"/>
        <v>0</v>
      </c>
      <c r="J319" s="156">
        <f>SUM($H$17:$H319)</f>
        <v>1423.0974802243</v>
      </c>
    </row>
    <row r="320" hidden="1" spans="1:10">
      <c r="A320" s="154">
        <v>303</v>
      </c>
      <c r="B320" s="155">
        <f ca="1" t="shared" si="33"/>
        <v>64710</v>
      </c>
      <c r="C320" s="156">
        <f t="shared" si="37"/>
        <v>0</v>
      </c>
      <c r="D320" s="156">
        <f t="shared" si="40"/>
        <v>3570.51624670405</v>
      </c>
      <c r="E320" s="156">
        <f t="shared" si="34"/>
        <v>0</v>
      </c>
      <c r="F320" s="156">
        <f t="shared" si="35"/>
        <v>0</v>
      </c>
      <c r="G320" s="156">
        <f t="shared" si="38"/>
        <v>0</v>
      </c>
      <c r="H320" s="156">
        <f t="shared" si="39"/>
        <v>0</v>
      </c>
      <c r="I320" s="156">
        <f t="shared" si="36"/>
        <v>0</v>
      </c>
      <c r="J320" s="156">
        <f>SUM($H$17:$H320)</f>
        <v>1423.0974802243</v>
      </c>
    </row>
    <row r="321" hidden="1" spans="1:10">
      <c r="A321" s="154">
        <v>304</v>
      </c>
      <c r="B321" s="155">
        <f ca="1" t="shared" si="33"/>
        <v>64771</v>
      </c>
      <c r="C321" s="156">
        <f t="shared" si="37"/>
        <v>0</v>
      </c>
      <c r="D321" s="156">
        <f t="shared" si="40"/>
        <v>3570.51624670405</v>
      </c>
      <c r="E321" s="156">
        <f t="shared" si="34"/>
        <v>0</v>
      </c>
      <c r="F321" s="156">
        <f t="shared" si="35"/>
        <v>0</v>
      </c>
      <c r="G321" s="156">
        <f t="shared" si="38"/>
        <v>0</v>
      </c>
      <c r="H321" s="156">
        <f t="shared" si="39"/>
        <v>0</v>
      </c>
      <c r="I321" s="156">
        <f t="shared" si="36"/>
        <v>0</v>
      </c>
      <c r="J321" s="156">
        <f>SUM($H$17:$H321)</f>
        <v>1423.0974802243</v>
      </c>
    </row>
    <row r="322" hidden="1" spans="1:10">
      <c r="A322" s="154">
        <v>305</v>
      </c>
      <c r="B322" s="155">
        <f ca="1" t="shared" si="33"/>
        <v>64832</v>
      </c>
      <c r="C322" s="156">
        <f t="shared" si="37"/>
        <v>0</v>
      </c>
      <c r="D322" s="156">
        <f t="shared" si="40"/>
        <v>3570.51624670405</v>
      </c>
      <c r="E322" s="156">
        <f t="shared" si="34"/>
        <v>0</v>
      </c>
      <c r="F322" s="156">
        <f t="shared" si="35"/>
        <v>0</v>
      </c>
      <c r="G322" s="156">
        <f t="shared" si="38"/>
        <v>0</v>
      </c>
      <c r="H322" s="156">
        <f t="shared" si="39"/>
        <v>0</v>
      </c>
      <c r="I322" s="156">
        <f t="shared" si="36"/>
        <v>0</v>
      </c>
      <c r="J322" s="156">
        <f>SUM($H$17:$H322)</f>
        <v>1423.0974802243</v>
      </c>
    </row>
    <row r="323" hidden="1" spans="1:10">
      <c r="A323" s="154">
        <v>306</v>
      </c>
      <c r="B323" s="155">
        <f ca="1" t="shared" si="33"/>
        <v>64894</v>
      </c>
      <c r="C323" s="156">
        <f t="shared" si="37"/>
        <v>0</v>
      </c>
      <c r="D323" s="156">
        <f t="shared" si="40"/>
        <v>3570.51624670405</v>
      </c>
      <c r="E323" s="156">
        <f t="shared" si="34"/>
        <v>0</v>
      </c>
      <c r="F323" s="156">
        <f t="shared" si="35"/>
        <v>0</v>
      </c>
      <c r="G323" s="156">
        <f t="shared" si="38"/>
        <v>0</v>
      </c>
      <c r="H323" s="156">
        <f t="shared" si="39"/>
        <v>0</v>
      </c>
      <c r="I323" s="156">
        <f t="shared" si="36"/>
        <v>0</v>
      </c>
      <c r="J323" s="156">
        <f>SUM($H$17:$H323)</f>
        <v>1423.0974802243</v>
      </c>
    </row>
    <row r="324" hidden="1" spans="1:10">
      <c r="A324" s="154">
        <v>307</v>
      </c>
      <c r="B324" s="155">
        <f ca="1" t="shared" si="33"/>
        <v>64955</v>
      </c>
      <c r="C324" s="156">
        <f t="shared" si="37"/>
        <v>0</v>
      </c>
      <c r="D324" s="156">
        <f t="shared" si="40"/>
        <v>3570.51624670405</v>
      </c>
      <c r="E324" s="156">
        <f t="shared" si="34"/>
        <v>0</v>
      </c>
      <c r="F324" s="156">
        <f t="shared" si="35"/>
        <v>0</v>
      </c>
      <c r="G324" s="156">
        <f t="shared" si="38"/>
        <v>0</v>
      </c>
      <c r="H324" s="156">
        <f t="shared" si="39"/>
        <v>0</v>
      </c>
      <c r="I324" s="156">
        <f t="shared" si="36"/>
        <v>0</v>
      </c>
      <c r="J324" s="156">
        <f>SUM($H$17:$H324)</f>
        <v>1423.0974802243</v>
      </c>
    </row>
    <row r="325" hidden="1" spans="1:10">
      <c r="A325" s="154">
        <v>308</v>
      </c>
      <c r="B325" s="155">
        <f ca="1" t="shared" si="33"/>
        <v>65016</v>
      </c>
      <c r="C325" s="156">
        <f t="shared" si="37"/>
        <v>0</v>
      </c>
      <c r="D325" s="156">
        <f t="shared" si="40"/>
        <v>3570.51624670405</v>
      </c>
      <c r="E325" s="156">
        <f t="shared" si="34"/>
        <v>0</v>
      </c>
      <c r="F325" s="156">
        <f t="shared" si="35"/>
        <v>0</v>
      </c>
      <c r="G325" s="156">
        <f t="shared" si="38"/>
        <v>0</v>
      </c>
      <c r="H325" s="156">
        <f t="shared" si="39"/>
        <v>0</v>
      </c>
      <c r="I325" s="156">
        <f t="shared" si="36"/>
        <v>0</v>
      </c>
      <c r="J325" s="156">
        <f>SUM($H$17:$H325)</f>
        <v>1423.0974802243</v>
      </c>
    </row>
    <row r="326" hidden="1" spans="1:10">
      <c r="A326" s="154">
        <v>309</v>
      </c>
      <c r="B326" s="155">
        <f ca="1" t="shared" si="33"/>
        <v>65075</v>
      </c>
      <c r="C326" s="156">
        <f t="shared" si="37"/>
        <v>0</v>
      </c>
      <c r="D326" s="156">
        <f t="shared" si="40"/>
        <v>3570.51624670405</v>
      </c>
      <c r="E326" s="156">
        <f t="shared" si="34"/>
        <v>0</v>
      </c>
      <c r="F326" s="156">
        <f t="shared" si="35"/>
        <v>0</v>
      </c>
      <c r="G326" s="156">
        <f t="shared" si="38"/>
        <v>0</v>
      </c>
      <c r="H326" s="156">
        <f t="shared" si="39"/>
        <v>0</v>
      </c>
      <c r="I326" s="156">
        <f t="shared" si="36"/>
        <v>0</v>
      </c>
      <c r="J326" s="156">
        <f>SUM($H$17:$H326)</f>
        <v>1423.0974802243</v>
      </c>
    </row>
    <row r="327" hidden="1" spans="1:10">
      <c r="A327" s="154">
        <v>310</v>
      </c>
      <c r="B327" s="155">
        <f ca="1" t="shared" si="33"/>
        <v>65136</v>
      </c>
      <c r="C327" s="156">
        <f t="shared" si="37"/>
        <v>0</v>
      </c>
      <c r="D327" s="156">
        <f t="shared" si="40"/>
        <v>3570.51624670405</v>
      </c>
      <c r="E327" s="156">
        <f t="shared" si="34"/>
        <v>0</v>
      </c>
      <c r="F327" s="156">
        <f t="shared" si="35"/>
        <v>0</v>
      </c>
      <c r="G327" s="156">
        <f t="shared" si="38"/>
        <v>0</v>
      </c>
      <c r="H327" s="156">
        <f t="shared" si="39"/>
        <v>0</v>
      </c>
      <c r="I327" s="156">
        <f t="shared" si="36"/>
        <v>0</v>
      </c>
      <c r="J327" s="156">
        <f>SUM($H$17:$H327)</f>
        <v>1423.0974802243</v>
      </c>
    </row>
    <row r="328" hidden="1" spans="1:10">
      <c r="A328" s="154">
        <v>311</v>
      </c>
      <c r="B328" s="155">
        <f ca="1" t="shared" si="33"/>
        <v>65197</v>
      </c>
      <c r="C328" s="156">
        <f t="shared" si="37"/>
        <v>0</v>
      </c>
      <c r="D328" s="156">
        <f t="shared" si="40"/>
        <v>3570.51624670405</v>
      </c>
      <c r="E328" s="156">
        <f t="shared" si="34"/>
        <v>0</v>
      </c>
      <c r="F328" s="156">
        <f t="shared" si="35"/>
        <v>0</v>
      </c>
      <c r="G328" s="156">
        <f t="shared" si="38"/>
        <v>0</v>
      </c>
      <c r="H328" s="156">
        <f t="shared" si="39"/>
        <v>0</v>
      </c>
      <c r="I328" s="156">
        <f t="shared" si="36"/>
        <v>0</v>
      </c>
      <c r="J328" s="156">
        <f>SUM($H$17:$H328)</f>
        <v>1423.0974802243</v>
      </c>
    </row>
    <row r="329" hidden="1" spans="1:10">
      <c r="A329" s="154">
        <v>312</v>
      </c>
      <c r="B329" s="155">
        <f ca="1" t="shared" si="33"/>
        <v>65259</v>
      </c>
      <c r="C329" s="156">
        <f t="shared" si="37"/>
        <v>0</v>
      </c>
      <c r="D329" s="156">
        <f t="shared" si="40"/>
        <v>3570.51624670405</v>
      </c>
      <c r="E329" s="156">
        <f t="shared" si="34"/>
        <v>0</v>
      </c>
      <c r="F329" s="156">
        <f t="shared" si="35"/>
        <v>0</v>
      </c>
      <c r="G329" s="156">
        <f t="shared" si="38"/>
        <v>0</v>
      </c>
      <c r="H329" s="156">
        <f t="shared" si="39"/>
        <v>0</v>
      </c>
      <c r="I329" s="156">
        <f t="shared" si="36"/>
        <v>0</v>
      </c>
      <c r="J329" s="156">
        <f>SUM($H$17:$H329)</f>
        <v>1423.0974802243</v>
      </c>
    </row>
    <row r="330" hidden="1" spans="1:10">
      <c r="A330" s="154">
        <v>313</v>
      </c>
      <c r="B330" s="155">
        <f ca="1" t="shared" si="33"/>
        <v>65320</v>
      </c>
      <c r="C330" s="156">
        <f t="shared" si="37"/>
        <v>0</v>
      </c>
      <c r="D330" s="156">
        <f t="shared" si="40"/>
        <v>3570.51624670405</v>
      </c>
      <c r="E330" s="156">
        <f t="shared" si="34"/>
        <v>0</v>
      </c>
      <c r="F330" s="156">
        <f t="shared" si="35"/>
        <v>0</v>
      </c>
      <c r="G330" s="156">
        <f t="shared" si="38"/>
        <v>0</v>
      </c>
      <c r="H330" s="156">
        <f t="shared" si="39"/>
        <v>0</v>
      </c>
      <c r="I330" s="156">
        <f t="shared" si="36"/>
        <v>0</v>
      </c>
      <c r="J330" s="156">
        <f>SUM($H$17:$H330)</f>
        <v>1423.0974802243</v>
      </c>
    </row>
    <row r="331" hidden="1" spans="1:10">
      <c r="A331" s="154">
        <v>314</v>
      </c>
      <c r="B331" s="155">
        <f ca="1" t="shared" si="33"/>
        <v>65381</v>
      </c>
      <c r="C331" s="156">
        <f t="shared" si="37"/>
        <v>0</v>
      </c>
      <c r="D331" s="156">
        <f t="shared" si="40"/>
        <v>3570.51624670405</v>
      </c>
      <c r="E331" s="156">
        <f t="shared" si="34"/>
        <v>0</v>
      </c>
      <c r="F331" s="156">
        <f t="shared" si="35"/>
        <v>0</v>
      </c>
      <c r="G331" s="156">
        <f t="shared" si="38"/>
        <v>0</v>
      </c>
      <c r="H331" s="156">
        <f t="shared" si="39"/>
        <v>0</v>
      </c>
      <c r="I331" s="156">
        <f t="shared" si="36"/>
        <v>0</v>
      </c>
      <c r="J331" s="156">
        <f>SUM($H$17:$H331)</f>
        <v>1423.0974802243</v>
      </c>
    </row>
    <row r="332" hidden="1" spans="1:10">
      <c r="A332" s="154">
        <v>315</v>
      </c>
      <c r="B332" s="155">
        <f ca="1" t="shared" si="33"/>
        <v>65440</v>
      </c>
      <c r="C332" s="156">
        <f t="shared" si="37"/>
        <v>0</v>
      </c>
      <c r="D332" s="156">
        <f t="shared" si="40"/>
        <v>3570.51624670405</v>
      </c>
      <c r="E332" s="156">
        <f t="shared" si="34"/>
        <v>0</v>
      </c>
      <c r="F332" s="156">
        <f t="shared" si="35"/>
        <v>0</v>
      </c>
      <c r="G332" s="156">
        <f t="shared" si="38"/>
        <v>0</v>
      </c>
      <c r="H332" s="156">
        <f t="shared" si="39"/>
        <v>0</v>
      </c>
      <c r="I332" s="156">
        <f t="shared" si="36"/>
        <v>0</v>
      </c>
      <c r="J332" s="156">
        <f>SUM($H$17:$H332)</f>
        <v>1423.0974802243</v>
      </c>
    </row>
    <row r="333" hidden="1" spans="1:10">
      <c r="A333" s="154">
        <v>316</v>
      </c>
      <c r="B333" s="155">
        <f ca="1" t="shared" si="33"/>
        <v>65501</v>
      </c>
      <c r="C333" s="156">
        <f t="shared" si="37"/>
        <v>0</v>
      </c>
      <c r="D333" s="156">
        <f t="shared" si="40"/>
        <v>3570.51624670405</v>
      </c>
      <c r="E333" s="156">
        <f t="shared" si="34"/>
        <v>0</v>
      </c>
      <c r="F333" s="156">
        <f t="shared" si="35"/>
        <v>0</v>
      </c>
      <c r="G333" s="156">
        <f t="shared" si="38"/>
        <v>0</v>
      </c>
      <c r="H333" s="156">
        <f t="shared" si="39"/>
        <v>0</v>
      </c>
      <c r="I333" s="156">
        <f t="shared" si="36"/>
        <v>0</v>
      </c>
      <c r="J333" s="156">
        <f>SUM($H$17:$H333)</f>
        <v>1423.0974802243</v>
      </c>
    </row>
    <row r="334" hidden="1" spans="1:10">
      <c r="A334" s="154">
        <v>317</v>
      </c>
      <c r="B334" s="155">
        <f ca="1" t="shared" si="33"/>
        <v>65562</v>
      </c>
      <c r="C334" s="156">
        <f t="shared" si="37"/>
        <v>0</v>
      </c>
      <c r="D334" s="156">
        <f t="shared" si="40"/>
        <v>3570.51624670405</v>
      </c>
      <c r="E334" s="156">
        <f t="shared" si="34"/>
        <v>0</v>
      </c>
      <c r="F334" s="156">
        <f t="shared" si="35"/>
        <v>0</v>
      </c>
      <c r="G334" s="156">
        <f t="shared" si="38"/>
        <v>0</v>
      </c>
      <c r="H334" s="156">
        <f t="shared" si="39"/>
        <v>0</v>
      </c>
      <c r="I334" s="156">
        <f t="shared" si="36"/>
        <v>0</v>
      </c>
      <c r="J334" s="156">
        <f>SUM($H$17:$H334)</f>
        <v>1423.0974802243</v>
      </c>
    </row>
    <row r="335" hidden="1" spans="1:10">
      <c r="A335" s="154">
        <v>318</v>
      </c>
      <c r="B335" s="155">
        <f ca="1" t="shared" si="33"/>
        <v>65624</v>
      </c>
      <c r="C335" s="156">
        <f t="shared" si="37"/>
        <v>0</v>
      </c>
      <c r="D335" s="156">
        <f t="shared" si="40"/>
        <v>3570.51624670405</v>
      </c>
      <c r="E335" s="156">
        <f t="shared" si="34"/>
        <v>0</v>
      </c>
      <c r="F335" s="156">
        <f t="shared" si="35"/>
        <v>0</v>
      </c>
      <c r="G335" s="156">
        <f t="shared" si="38"/>
        <v>0</v>
      </c>
      <c r="H335" s="156">
        <f t="shared" si="39"/>
        <v>0</v>
      </c>
      <c r="I335" s="156">
        <f t="shared" si="36"/>
        <v>0</v>
      </c>
      <c r="J335" s="156">
        <f>SUM($H$17:$H335)</f>
        <v>1423.0974802243</v>
      </c>
    </row>
    <row r="336" hidden="1" spans="1:10">
      <c r="A336" s="154">
        <v>319</v>
      </c>
      <c r="B336" s="155">
        <f ca="1" t="shared" si="33"/>
        <v>65685</v>
      </c>
      <c r="C336" s="156">
        <f t="shared" si="37"/>
        <v>0</v>
      </c>
      <c r="D336" s="156">
        <f t="shared" si="40"/>
        <v>3570.51624670405</v>
      </c>
      <c r="E336" s="156">
        <f t="shared" si="34"/>
        <v>0</v>
      </c>
      <c r="F336" s="156">
        <f t="shared" si="35"/>
        <v>0</v>
      </c>
      <c r="G336" s="156">
        <f t="shared" si="38"/>
        <v>0</v>
      </c>
      <c r="H336" s="156">
        <f t="shared" si="39"/>
        <v>0</v>
      </c>
      <c r="I336" s="156">
        <f t="shared" si="36"/>
        <v>0</v>
      </c>
      <c r="J336" s="156">
        <f>SUM($H$17:$H336)</f>
        <v>1423.0974802243</v>
      </c>
    </row>
    <row r="337" hidden="1" spans="1:10">
      <c r="A337" s="154">
        <v>320</v>
      </c>
      <c r="B337" s="155">
        <f ca="1" t="shared" si="33"/>
        <v>65746</v>
      </c>
      <c r="C337" s="156">
        <f t="shared" si="37"/>
        <v>0</v>
      </c>
      <c r="D337" s="156">
        <f t="shared" si="40"/>
        <v>3570.51624670405</v>
      </c>
      <c r="E337" s="156">
        <f t="shared" si="34"/>
        <v>0</v>
      </c>
      <c r="F337" s="156">
        <f t="shared" si="35"/>
        <v>0</v>
      </c>
      <c r="G337" s="156">
        <f t="shared" si="38"/>
        <v>0</v>
      </c>
      <c r="H337" s="156">
        <f t="shared" si="39"/>
        <v>0</v>
      </c>
      <c r="I337" s="156">
        <f t="shared" si="36"/>
        <v>0</v>
      </c>
      <c r="J337" s="156">
        <f>SUM($H$17:$H337)</f>
        <v>1423.0974802243</v>
      </c>
    </row>
    <row r="338" hidden="1" spans="1:10">
      <c r="A338" s="154">
        <v>321</v>
      </c>
      <c r="B338" s="155">
        <f ca="1" t="shared" ref="B338:B401" si="41">IF(Pay_Num&lt;&gt;"",DATE(YEAR(Loan_Start),MONTH(Loan_Start)+(Pay_Num)*12/Num_Pmt_Per_Year,DAY(Loan_Start)),"")</f>
        <v>65806</v>
      </c>
      <c r="C338" s="156">
        <f t="shared" si="37"/>
        <v>0</v>
      </c>
      <c r="D338" s="156">
        <f t="shared" si="40"/>
        <v>3570.51624670405</v>
      </c>
      <c r="E338" s="156">
        <f t="shared" ref="E338:E401" si="42">IF(AND(Pay_Num&lt;&gt;"",Sched_Pay+Scheduled_Extra_Payments&lt;Beg_Bal),Scheduled_Extra_Payments,IF(AND(Pay_Num&lt;&gt;"",Beg_Bal-Sched_Pay&gt;0),Beg_Bal-Sched_Pay,IF(Pay_Num&lt;&gt;"",0,"")))</f>
        <v>0</v>
      </c>
      <c r="F338" s="156">
        <f t="shared" ref="F338:F401" si="43">IF(AND(Pay_Num&lt;&gt;"",Sched_Pay+Extra_Pay&lt;Beg_Bal),Sched_Pay+Extra_Pay,IF(Pay_Num&lt;&gt;"",Beg_Bal,""))</f>
        <v>0</v>
      </c>
      <c r="G338" s="156">
        <f t="shared" si="38"/>
        <v>0</v>
      </c>
      <c r="H338" s="156">
        <f t="shared" si="39"/>
        <v>0</v>
      </c>
      <c r="I338" s="156">
        <f t="shared" ref="I338:I401" si="44">IF(AND(Pay_Num&lt;&gt;"",Sched_Pay+Extra_Pay&lt;Beg_Bal),Beg_Bal-Princ,IF(Pay_Num&lt;&gt;"",0,""))</f>
        <v>0</v>
      </c>
      <c r="J338" s="156">
        <f>SUM($H$17:$H338)</f>
        <v>1423.0974802243</v>
      </c>
    </row>
    <row r="339" hidden="1" spans="1:10">
      <c r="A339" s="154">
        <v>322</v>
      </c>
      <c r="B339" s="155">
        <f ca="1" t="shared" si="41"/>
        <v>65867</v>
      </c>
      <c r="C339" s="156">
        <f t="shared" ref="C339:C376" si="45">IF(Pay_Num&lt;&gt;"",I338,"")</f>
        <v>0</v>
      </c>
      <c r="D339" s="156">
        <f t="shared" si="40"/>
        <v>3570.51624670405</v>
      </c>
      <c r="E339" s="156">
        <f t="shared" si="42"/>
        <v>0</v>
      </c>
      <c r="F339" s="156">
        <f t="shared" si="43"/>
        <v>0</v>
      </c>
      <c r="G339" s="156">
        <f t="shared" ref="G339:G402" si="46">IF(Pay_Num&lt;&gt;"",Total_Pay-Int,"")</f>
        <v>0</v>
      </c>
      <c r="H339" s="156">
        <f t="shared" ref="H339:H402" si="47">IF(Pay_Num&lt;&gt;"",Beg_Bal*Interest_Rate/Num_Pmt_Per_Year,"")</f>
        <v>0</v>
      </c>
      <c r="I339" s="156">
        <f t="shared" si="44"/>
        <v>0</v>
      </c>
      <c r="J339" s="156">
        <f>SUM($H$17:$H339)</f>
        <v>1423.0974802243</v>
      </c>
    </row>
    <row r="340" hidden="1" spans="1:10">
      <c r="A340" s="154">
        <v>323</v>
      </c>
      <c r="B340" s="155">
        <f ca="1" t="shared" si="41"/>
        <v>65928</v>
      </c>
      <c r="C340" s="156">
        <f t="shared" si="45"/>
        <v>0</v>
      </c>
      <c r="D340" s="156">
        <f t="shared" ref="D340:D403" si="48">IF(Pay_Num&lt;&gt;"",Scheduled_Monthly_Payment,"")</f>
        <v>3570.51624670405</v>
      </c>
      <c r="E340" s="156">
        <f t="shared" si="42"/>
        <v>0</v>
      </c>
      <c r="F340" s="156">
        <f t="shared" si="43"/>
        <v>0</v>
      </c>
      <c r="G340" s="156">
        <f t="shared" si="46"/>
        <v>0</v>
      </c>
      <c r="H340" s="156">
        <f t="shared" si="47"/>
        <v>0</v>
      </c>
      <c r="I340" s="156">
        <f t="shared" si="44"/>
        <v>0</v>
      </c>
      <c r="J340" s="156">
        <f>SUM($H$17:$H340)</f>
        <v>1423.0974802243</v>
      </c>
    </row>
    <row r="341" hidden="1" spans="1:10">
      <c r="A341" s="154">
        <v>324</v>
      </c>
      <c r="B341" s="155">
        <f ca="1" t="shared" si="41"/>
        <v>65990</v>
      </c>
      <c r="C341" s="156">
        <f t="shared" si="45"/>
        <v>0</v>
      </c>
      <c r="D341" s="156">
        <f t="shared" si="48"/>
        <v>3570.51624670405</v>
      </c>
      <c r="E341" s="156">
        <f t="shared" si="42"/>
        <v>0</v>
      </c>
      <c r="F341" s="156">
        <f t="shared" si="43"/>
        <v>0</v>
      </c>
      <c r="G341" s="156">
        <f t="shared" si="46"/>
        <v>0</v>
      </c>
      <c r="H341" s="156">
        <f t="shared" si="47"/>
        <v>0</v>
      </c>
      <c r="I341" s="156">
        <f t="shared" si="44"/>
        <v>0</v>
      </c>
      <c r="J341" s="156">
        <f>SUM($H$17:$H341)</f>
        <v>1423.0974802243</v>
      </c>
    </row>
    <row r="342" hidden="1" spans="1:10">
      <c r="A342" s="154">
        <v>325</v>
      </c>
      <c r="B342" s="155">
        <f ca="1" t="shared" si="41"/>
        <v>66051</v>
      </c>
      <c r="C342" s="156">
        <f t="shared" si="45"/>
        <v>0</v>
      </c>
      <c r="D342" s="156">
        <f t="shared" si="48"/>
        <v>3570.51624670405</v>
      </c>
      <c r="E342" s="156">
        <f t="shared" si="42"/>
        <v>0</v>
      </c>
      <c r="F342" s="156">
        <f t="shared" si="43"/>
        <v>0</v>
      </c>
      <c r="G342" s="156">
        <f t="shared" si="46"/>
        <v>0</v>
      </c>
      <c r="H342" s="156">
        <f t="shared" si="47"/>
        <v>0</v>
      </c>
      <c r="I342" s="156">
        <f t="shared" si="44"/>
        <v>0</v>
      </c>
      <c r="J342" s="156">
        <f>SUM($H$17:$H342)</f>
        <v>1423.0974802243</v>
      </c>
    </row>
    <row r="343" hidden="1" spans="1:10">
      <c r="A343" s="154">
        <v>326</v>
      </c>
      <c r="B343" s="155">
        <f ca="1" t="shared" si="41"/>
        <v>66112</v>
      </c>
      <c r="C343" s="156">
        <f t="shared" si="45"/>
        <v>0</v>
      </c>
      <c r="D343" s="156">
        <f t="shared" si="48"/>
        <v>3570.51624670405</v>
      </c>
      <c r="E343" s="156">
        <f t="shared" si="42"/>
        <v>0</v>
      </c>
      <c r="F343" s="156">
        <f t="shared" si="43"/>
        <v>0</v>
      </c>
      <c r="G343" s="156">
        <f t="shared" si="46"/>
        <v>0</v>
      </c>
      <c r="H343" s="156">
        <f t="shared" si="47"/>
        <v>0</v>
      </c>
      <c r="I343" s="156">
        <f t="shared" si="44"/>
        <v>0</v>
      </c>
      <c r="J343" s="156">
        <f>SUM($H$17:$H343)</f>
        <v>1423.0974802243</v>
      </c>
    </row>
    <row r="344" hidden="1" spans="1:10">
      <c r="A344" s="154">
        <v>327</v>
      </c>
      <c r="B344" s="155">
        <f ca="1" t="shared" si="41"/>
        <v>66171</v>
      </c>
      <c r="C344" s="156">
        <f t="shared" si="45"/>
        <v>0</v>
      </c>
      <c r="D344" s="156">
        <f t="shared" si="48"/>
        <v>3570.51624670405</v>
      </c>
      <c r="E344" s="156">
        <f t="shared" si="42"/>
        <v>0</v>
      </c>
      <c r="F344" s="156">
        <f t="shared" si="43"/>
        <v>0</v>
      </c>
      <c r="G344" s="156">
        <f t="shared" si="46"/>
        <v>0</v>
      </c>
      <c r="H344" s="156">
        <f t="shared" si="47"/>
        <v>0</v>
      </c>
      <c r="I344" s="156">
        <f t="shared" si="44"/>
        <v>0</v>
      </c>
      <c r="J344" s="156">
        <f>SUM($H$17:$H344)</f>
        <v>1423.0974802243</v>
      </c>
    </row>
    <row r="345" hidden="1" spans="1:10">
      <c r="A345" s="154">
        <v>328</v>
      </c>
      <c r="B345" s="155">
        <f ca="1" t="shared" si="41"/>
        <v>66232</v>
      </c>
      <c r="C345" s="156">
        <f t="shared" si="45"/>
        <v>0</v>
      </c>
      <c r="D345" s="156">
        <f t="shared" si="48"/>
        <v>3570.51624670405</v>
      </c>
      <c r="E345" s="156">
        <f t="shared" si="42"/>
        <v>0</v>
      </c>
      <c r="F345" s="156">
        <f t="shared" si="43"/>
        <v>0</v>
      </c>
      <c r="G345" s="156">
        <f t="shared" si="46"/>
        <v>0</v>
      </c>
      <c r="H345" s="156">
        <f t="shared" si="47"/>
        <v>0</v>
      </c>
      <c r="I345" s="156">
        <f t="shared" si="44"/>
        <v>0</v>
      </c>
      <c r="J345" s="156">
        <f>SUM($H$17:$H345)</f>
        <v>1423.0974802243</v>
      </c>
    </row>
    <row r="346" hidden="1" spans="1:10">
      <c r="A346" s="154">
        <v>329</v>
      </c>
      <c r="B346" s="155">
        <f ca="1" t="shared" si="41"/>
        <v>66293</v>
      </c>
      <c r="C346" s="156">
        <f t="shared" si="45"/>
        <v>0</v>
      </c>
      <c r="D346" s="156">
        <f t="shared" si="48"/>
        <v>3570.51624670405</v>
      </c>
      <c r="E346" s="156">
        <f t="shared" si="42"/>
        <v>0</v>
      </c>
      <c r="F346" s="156">
        <f t="shared" si="43"/>
        <v>0</v>
      </c>
      <c r="G346" s="156">
        <f t="shared" si="46"/>
        <v>0</v>
      </c>
      <c r="H346" s="156">
        <f t="shared" si="47"/>
        <v>0</v>
      </c>
      <c r="I346" s="156">
        <f t="shared" si="44"/>
        <v>0</v>
      </c>
      <c r="J346" s="156">
        <f>SUM($H$17:$H346)</f>
        <v>1423.0974802243</v>
      </c>
    </row>
    <row r="347" hidden="1" spans="1:10">
      <c r="A347" s="154">
        <v>330</v>
      </c>
      <c r="B347" s="155">
        <f ca="1" t="shared" si="41"/>
        <v>66355</v>
      </c>
      <c r="C347" s="156">
        <f t="shared" si="45"/>
        <v>0</v>
      </c>
      <c r="D347" s="156">
        <f t="shared" si="48"/>
        <v>3570.51624670405</v>
      </c>
      <c r="E347" s="156">
        <f t="shared" si="42"/>
        <v>0</v>
      </c>
      <c r="F347" s="156">
        <f t="shared" si="43"/>
        <v>0</v>
      </c>
      <c r="G347" s="156">
        <f t="shared" si="46"/>
        <v>0</v>
      </c>
      <c r="H347" s="156">
        <f t="shared" si="47"/>
        <v>0</v>
      </c>
      <c r="I347" s="156">
        <f t="shared" si="44"/>
        <v>0</v>
      </c>
      <c r="J347" s="156">
        <f>SUM($H$17:$H347)</f>
        <v>1423.0974802243</v>
      </c>
    </row>
    <row r="348" hidden="1" spans="1:10">
      <c r="A348" s="154">
        <v>331</v>
      </c>
      <c r="B348" s="155">
        <f ca="1" t="shared" si="41"/>
        <v>66416</v>
      </c>
      <c r="C348" s="156">
        <f t="shared" si="45"/>
        <v>0</v>
      </c>
      <c r="D348" s="156">
        <f t="shared" si="48"/>
        <v>3570.51624670405</v>
      </c>
      <c r="E348" s="156">
        <f t="shared" si="42"/>
        <v>0</v>
      </c>
      <c r="F348" s="156">
        <f t="shared" si="43"/>
        <v>0</v>
      </c>
      <c r="G348" s="156">
        <f t="shared" si="46"/>
        <v>0</v>
      </c>
      <c r="H348" s="156">
        <f t="shared" si="47"/>
        <v>0</v>
      </c>
      <c r="I348" s="156">
        <f t="shared" si="44"/>
        <v>0</v>
      </c>
      <c r="J348" s="156">
        <f>SUM($H$17:$H348)</f>
        <v>1423.0974802243</v>
      </c>
    </row>
    <row r="349" hidden="1" spans="1:10">
      <c r="A349" s="154">
        <v>332</v>
      </c>
      <c r="B349" s="155">
        <f ca="1" t="shared" si="41"/>
        <v>66477</v>
      </c>
      <c r="C349" s="156">
        <f t="shared" si="45"/>
        <v>0</v>
      </c>
      <c r="D349" s="156">
        <f t="shared" si="48"/>
        <v>3570.51624670405</v>
      </c>
      <c r="E349" s="156">
        <f t="shared" si="42"/>
        <v>0</v>
      </c>
      <c r="F349" s="156">
        <f t="shared" si="43"/>
        <v>0</v>
      </c>
      <c r="G349" s="156">
        <f t="shared" si="46"/>
        <v>0</v>
      </c>
      <c r="H349" s="156">
        <f t="shared" si="47"/>
        <v>0</v>
      </c>
      <c r="I349" s="156">
        <f t="shared" si="44"/>
        <v>0</v>
      </c>
      <c r="J349" s="156">
        <f>SUM($H$17:$H349)</f>
        <v>1423.0974802243</v>
      </c>
    </row>
    <row r="350" hidden="1" spans="1:10">
      <c r="A350" s="154">
        <v>333</v>
      </c>
      <c r="B350" s="155">
        <f ca="1" t="shared" si="41"/>
        <v>66536</v>
      </c>
      <c r="C350" s="156">
        <f t="shared" si="45"/>
        <v>0</v>
      </c>
      <c r="D350" s="156">
        <f t="shared" si="48"/>
        <v>3570.51624670405</v>
      </c>
      <c r="E350" s="156">
        <f t="shared" si="42"/>
        <v>0</v>
      </c>
      <c r="F350" s="156">
        <f t="shared" si="43"/>
        <v>0</v>
      </c>
      <c r="G350" s="156">
        <f t="shared" si="46"/>
        <v>0</v>
      </c>
      <c r="H350" s="156">
        <f t="shared" si="47"/>
        <v>0</v>
      </c>
      <c r="I350" s="156">
        <f t="shared" si="44"/>
        <v>0</v>
      </c>
      <c r="J350" s="156">
        <f>SUM($H$17:$H350)</f>
        <v>1423.0974802243</v>
      </c>
    </row>
    <row r="351" hidden="1" spans="1:10">
      <c r="A351" s="154">
        <v>334</v>
      </c>
      <c r="B351" s="155">
        <f ca="1" t="shared" si="41"/>
        <v>66597</v>
      </c>
      <c r="C351" s="156">
        <f t="shared" si="45"/>
        <v>0</v>
      </c>
      <c r="D351" s="156">
        <f t="shared" si="48"/>
        <v>3570.51624670405</v>
      </c>
      <c r="E351" s="156">
        <f t="shared" si="42"/>
        <v>0</v>
      </c>
      <c r="F351" s="156">
        <f t="shared" si="43"/>
        <v>0</v>
      </c>
      <c r="G351" s="156">
        <f t="shared" si="46"/>
        <v>0</v>
      </c>
      <c r="H351" s="156">
        <f t="shared" si="47"/>
        <v>0</v>
      </c>
      <c r="I351" s="156">
        <f t="shared" si="44"/>
        <v>0</v>
      </c>
      <c r="J351" s="156">
        <f>SUM($H$17:$H351)</f>
        <v>1423.0974802243</v>
      </c>
    </row>
    <row r="352" hidden="1" spans="1:10">
      <c r="A352" s="154">
        <v>335</v>
      </c>
      <c r="B352" s="155">
        <f ca="1" t="shared" si="41"/>
        <v>66658</v>
      </c>
      <c r="C352" s="156">
        <f t="shared" si="45"/>
        <v>0</v>
      </c>
      <c r="D352" s="156">
        <f t="shared" si="48"/>
        <v>3570.51624670405</v>
      </c>
      <c r="E352" s="156">
        <f t="shared" si="42"/>
        <v>0</v>
      </c>
      <c r="F352" s="156">
        <f t="shared" si="43"/>
        <v>0</v>
      </c>
      <c r="G352" s="156">
        <f t="shared" si="46"/>
        <v>0</v>
      </c>
      <c r="H352" s="156">
        <f t="shared" si="47"/>
        <v>0</v>
      </c>
      <c r="I352" s="156">
        <f t="shared" si="44"/>
        <v>0</v>
      </c>
      <c r="J352" s="156">
        <f>SUM($H$17:$H352)</f>
        <v>1423.0974802243</v>
      </c>
    </row>
    <row r="353" hidden="1" spans="1:10">
      <c r="A353" s="154">
        <v>336</v>
      </c>
      <c r="B353" s="155">
        <f ca="1" t="shared" si="41"/>
        <v>66720</v>
      </c>
      <c r="C353" s="156">
        <f t="shared" si="45"/>
        <v>0</v>
      </c>
      <c r="D353" s="156">
        <f t="shared" si="48"/>
        <v>3570.51624670405</v>
      </c>
      <c r="E353" s="156">
        <f t="shared" si="42"/>
        <v>0</v>
      </c>
      <c r="F353" s="156">
        <f t="shared" si="43"/>
        <v>0</v>
      </c>
      <c r="G353" s="156">
        <f t="shared" si="46"/>
        <v>0</v>
      </c>
      <c r="H353" s="156">
        <f t="shared" si="47"/>
        <v>0</v>
      </c>
      <c r="I353" s="156">
        <f t="shared" si="44"/>
        <v>0</v>
      </c>
      <c r="J353" s="156">
        <f>SUM($H$17:$H353)</f>
        <v>1423.0974802243</v>
      </c>
    </row>
    <row r="354" hidden="1" spans="1:10">
      <c r="A354" s="154">
        <v>337</v>
      </c>
      <c r="B354" s="155">
        <f ca="1" t="shared" si="41"/>
        <v>66781</v>
      </c>
      <c r="C354" s="156">
        <f t="shared" si="45"/>
        <v>0</v>
      </c>
      <c r="D354" s="156">
        <f t="shared" si="48"/>
        <v>3570.51624670405</v>
      </c>
      <c r="E354" s="156">
        <f t="shared" si="42"/>
        <v>0</v>
      </c>
      <c r="F354" s="156">
        <f t="shared" si="43"/>
        <v>0</v>
      </c>
      <c r="G354" s="156">
        <f t="shared" si="46"/>
        <v>0</v>
      </c>
      <c r="H354" s="156">
        <f t="shared" si="47"/>
        <v>0</v>
      </c>
      <c r="I354" s="156">
        <f t="shared" si="44"/>
        <v>0</v>
      </c>
      <c r="J354" s="156">
        <f>SUM($H$17:$H354)</f>
        <v>1423.0974802243</v>
      </c>
    </row>
    <row r="355" hidden="1" spans="1:10">
      <c r="A355" s="154">
        <v>338</v>
      </c>
      <c r="B355" s="155">
        <f ca="1" t="shared" si="41"/>
        <v>66842</v>
      </c>
      <c r="C355" s="156">
        <f t="shared" si="45"/>
        <v>0</v>
      </c>
      <c r="D355" s="156">
        <f t="shared" si="48"/>
        <v>3570.51624670405</v>
      </c>
      <c r="E355" s="156">
        <f t="shared" si="42"/>
        <v>0</v>
      </c>
      <c r="F355" s="156">
        <f t="shared" si="43"/>
        <v>0</v>
      </c>
      <c r="G355" s="156">
        <f t="shared" si="46"/>
        <v>0</v>
      </c>
      <c r="H355" s="156">
        <f t="shared" si="47"/>
        <v>0</v>
      </c>
      <c r="I355" s="156">
        <f t="shared" si="44"/>
        <v>0</v>
      </c>
      <c r="J355" s="156">
        <f>SUM($H$17:$H355)</f>
        <v>1423.0974802243</v>
      </c>
    </row>
    <row r="356" hidden="1" spans="1:10">
      <c r="A356" s="154">
        <v>339</v>
      </c>
      <c r="B356" s="155">
        <f ca="1" t="shared" si="41"/>
        <v>66901</v>
      </c>
      <c r="C356" s="156">
        <f t="shared" si="45"/>
        <v>0</v>
      </c>
      <c r="D356" s="156">
        <f t="shared" si="48"/>
        <v>3570.51624670405</v>
      </c>
      <c r="E356" s="156">
        <f t="shared" si="42"/>
        <v>0</v>
      </c>
      <c r="F356" s="156">
        <f t="shared" si="43"/>
        <v>0</v>
      </c>
      <c r="G356" s="156">
        <f t="shared" si="46"/>
        <v>0</v>
      </c>
      <c r="H356" s="156">
        <f t="shared" si="47"/>
        <v>0</v>
      </c>
      <c r="I356" s="156">
        <f t="shared" si="44"/>
        <v>0</v>
      </c>
      <c r="J356" s="156">
        <f>SUM($H$17:$H356)</f>
        <v>1423.0974802243</v>
      </c>
    </row>
    <row r="357" hidden="1" spans="1:10">
      <c r="A357" s="154">
        <v>340</v>
      </c>
      <c r="B357" s="155">
        <f ca="1" t="shared" si="41"/>
        <v>66962</v>
      </c>
      <c r="C357" s="156">
        <f t="shared" si="45"/>
        <v>0</v>
      </c>
      <c r="D357" s="156">
        <f t="shared" si="48"/>
        <v>3570.51624670405</v>
      </c>
      <c r="E357" s="156">
        <f t="shared" si="42"/>
        <v>0</v>
      </c>
      <c r="F357" s="156">
        <f t="shared" si="43"/>
        <v>0</v>
      </c>
      <c r="G357" s="156">
        <f t="shared" si="46"/>
        <v>0</v>
      </c>
      <c r="H357" s="156">
        <f t="shared" si="47"/>
        <v>0</v>
      </c>
      <c r="I357" s="156">
        <f t="shared" si="44"/>
        <v>0</v>
      </c>
      <c r="J357" s="156">
        <f>SUM($H$17:$H357)</f>
        <v>1423.0974802243</v>
      </c>
    </row>
    <row r="358" hidden="1" spans="1:10">
      <c r="A358" s="154">
        <v>341</v>
      </c>
      <c r="B358" s="155">
        <f ca="1" t="shared" si="41"/>
        <v>67023</v>
      </c>
      <c r="C358" s="156">
        <f t="shared" si="45"/>
        <v>0</v>
      </c>
      <c r="D358" s="156">
        <f t="shared" si="48"/>
        <v>3570.51624670405</v>
      </c>
      <c r="E358" s="156">
        <f t="shared" si="42"/>
        <v>0</v>
      </c>
      <c r="F358" s="156">
        <f t="shared" si="43"/>
        <v>0</v>
      </c>
      <c r="G358" s="156">
        <f t="shared" si="46"/>
        <v>0</v>
      </c>
      <c r="H358" s="156">
        <f t="shared" si="47"/>
        <v>0</v>
      </c>
      <c r="I358" s="156">
        <f t="shared" si="44"/>
        <v>0</v>
      </c>
      <c r="J358" s="156">
        <f>SUM($H$17:$H358)</f>
        <v>1423.0974802243</v>
      </c>
    </row>
    <row r="359" hidden="1" spans="1:10">
      <c r="A359" s="154">
        <v>342</v>
      </c>
      <c r="B359" s="155">
        <f ca="1" t="shared" si="41"/>
        <v>67085</v>
      </c>
      <c r="C359" s="156">
        <f t="shared" si="45"/>
        <v>0</v>
      </c>
      <c r="D359" s="156">
        <f t="shared" si="48"/>
        <v>3570.51624670405</v>
      </c>
      <c r="E359" s="156">
        <f t="shared" si="42"/>
        <v>0</v>
      </c>
      <c r="F359" s="156">
        <f t="shared" si="43"/>
        <v>0</v>
      </c>
      <c r="G359" s="156">
        <f t="shared" si="46"/>
        <v>0</v>
      </c>
      <c r="H359" s="156">
        <f t="shared" si="47"/>
        <v>0</v>
      </c>
      <c r="I359" s="156">
        <f t="shared" si="44"/>
        <v>0</v>
      </c>
      <c r="J359" s="156">
        <f>SUM($H$17:$H359)</f>
        <v>1423.0974802243</v>
      </c>
    </row>
    <row r="360" hidden="1" spans="1:10">
      <c r="A360" s="154">
        <v>343</v>
      </c>
      <c r="B360" s="155">
        <f ca="1" t="shared" si="41"/>
        <v>67146</v>
      </c>
      <c r="C360" s="156">
        <f t="shared" si="45"/>
        <v>0</v>
      </c>
      <c r="D360" s="156">
        <f t="shared" si="48"/>
        <v>3570.51624670405</v>
      </c>
      <c r="E360" s="156">
        <f t="shared" si="42"/>
        <v>0</v>
      </c>
      <c r="F360" s="156">
        <f t="shared" si="43"/>
        <v>0</v>
      </c>
      <c r="G360" s="156">
        <f t="shared" si="46"/>
        <v>0</v>
      </c>
      <c r="H360" s="156">
        <f t="shared" si="47"/>
        <v>0</v>
      </c>
      <c r="I360" s="156">
        <f t="shared" si="44"/>
        <v>0</v>
      </c>
      <c r="J360" s="156">
        <f>SUM($H$17:$H360)</f>
        <v>1423.0974802243</v>
      </c>
    </row>
    <row r="361" hidden="1" spans="1:10">
      <c r="A361" s="154">
        <v>344</v>
      </c>
      <c r="B361" s="155">
        <f ca="1" t="shared" si="41"/>
        <v>67207</v>
      </c>
      <c r="C361" s="156">
        <f t="shared" si="45"/>
        <v>0</v>
      </c>
      <c r="D361" s="156">
        <f t="shared" si="48"/>
        <v>3570.51624670405</v>
      </c>
      <c r="E361" s="156">
        <f t="shared" si="42"/>
        <v>0</v>
      </c>
      <c r="F361" s="156">
        <f t="shared" si="43"/>
        <v>0</v>
      </c>
      <c r="G361" s="156">
        <f t="shared" si="46"/>
        <v>0</v>
      </c>
      <c r="H361" s="156">
        <f t="shared" si="47"/>
        <v>0</v>
      </c>
      <c r="I361" s="156">
        <f t="shared" si="44"/>
        <v>0</v>
      </c>
      <c r="J361" s="156">
        <f>SUM($H$17:$H361)</f>
        <v>1423.0974802243</v>
      </c>
    </row>
    <row r="362" hidden="1" spans="1:10">
      <c r="A362" s="154">
        <v>345</v>
      </c>
      <c r="B362" s="155">
        <f ca="1" t="shared" si="41"/>
        <v>67267</v>
      </c>
      <c r="C362" s="156">
        <f t="shared" si="45"/>
        <v>0</v>
      </c>
      <c r="D362" s="156">
        <f t="shared" si="48"/>
        <v>3570.51624670405</v>
      </c>
      <c r="E362" s="156">
        <f t="shared" si="42"/>
        <v>0</v>
      </c>
      <c r="F362" s="156">
        <f t="shared" si="43"/>
        <v>0</v>
      </c>
      <c r="G362" s="156">
        <f t="shared" si="46"/>
        <v>0</v>
      </c>
      <c r="H362" s="156">
        <f t="shared" si="47"/>
        <v>0</v>
      </c>
      <c r="I362" s="156">
        <f t="shared" si="44"/>
        <v>0</v>
      </c>
      <c r="J362" s="156">
        <f>SUM($H$17:$H362)</f>
        <v>1423.0974802243</v>
      </c>
    </row>
    <row r="363" hidden="1" spans="1:10">
      <c r="A363" s="154">
        <v>346</v>
      </c>
      <c r="B363" s="155">
        <f ca="1" t="shared" si="41"/>
        <v>67328</v>
      </c>
      <c r="C363" s="156">
        <f t="shared" si="45"/>
        <v>0</v>
      </c>
      <c r="D363" s="156">
        <f t="shared" si="48"/>
        <v>3570.51624670405</v>
      </c>
      <c r="E363" s="156">
        <f t="shared" si="42"/>
        <v>0</v>
      </c>
      <c r="F363" s="156">
        <f t="shared" si="43"/>
        <v>0</v>
      </c>
      <c r="G363" s="156">
        <f t="shared" si="46"/>
        <v>0</v>
      </c>
      <c r="H363" s="156">
        <f t="shared" si="47"/>
        <v>0</v>
      </c>
      <c r="I363" s="156">
        <f t="shared" si="44"/>
        <v>0</v>
      </c>
      <c r="J363" s="156">
        <f>SUM($H$17:$H363)</f>
        <v>1423.0974802243</v>
      </c>
    </row>
    <row r="364" hidden="1" spans="1:10">
      <c r="A364" s="154">
        <v>347</v>
      </c>
      <c r="B364" s="155">
        <f ca="1" t="shared" si="41"/>
        <v>67389</v>
      </c>
      <c r="C364" s="156">
        <f t="shared" si="45"/>
        <v>0</v>
      </c>
      <c r="D364" s="156">
        <f t="shared" si="48"/>
        <v>3570.51624670405</v>
      </c>
      <c r="E364" s="156">
        <f t="shared" si="42"/>
        <v>0</v>
      </c>
      <c r="F364" s="156">
        <f t="shared" si="43"/>
        <v>0</v>
      </c>
      <c r="G364" s="156">
        <f t="shared" si="46"/>
        <v>0</v>
      </c>
      <c r="H364" s="156">
        <f t="shared" si="47"/>
        <v>0</v>
      </c>
      <c r="I364" s="156">
        <f t="shared" si="44"/>
        <v>0</v>
      </c>
      <c r="J364" s="156">
        <f>SUM($H$17:$H364)</f>
        <v>1423.0974802243</v>
      </c>
    </row>
    <row r="365" hidden="1" spans="1:10">
      <c r="A365" s="154">
        <v>348</v>
      </c>
      <c r="B365" s="155">
        <f ca="1" t="shared" si="41"/>
        <v>67451</v>
      </c>
      <c r="C365" s="156">
        <f t="shared" si="45"/>
        <v>0</v>
      </c>
      <c r="D365" s="156">
        <f t="shared" si="48"/>
        <v>3570.51624670405</v>
      </c>
      <c r="E365" s="156">
        <f t="shared" si="42"/>
        <v>0</v>
      </c>
      <c r="F365" s="156">
        <f t="shared" si="43"/>
        <v>0</v>
      </c>
      <c r="G365" s="156">
        <f t="shared" si="46"/>
        <v>0</v>
      </c>
      <c r="H365" s="156">
        <f t="shared" si="47"/>
        <v>0</v>
      </c>
      <c r="I365" s="156">
        <f t="shared" si="44"/>
        <v>0</v>
      </c>
      <c r="J365" s="156">
        <f>SUM($H$17:$H365)</f>
        <v>1423.0974802243</v>
      </c>
    </row>
    <row r="366" hidden="1" spans="1:10">
      <c r="A366" s="154">
        <v>349</v>
      </c>
      <c r="B366" s="155">
        <f ca="1" t="shared" si="41"/>
        <v>67512</v>
      </c>
      <c r="C366" s="156">
        <f t="shared" si="45"/>
        <v>0</v>
      </c>
      <c r="D366" s="156">
        <f t="shared" si="48"/>
        <v>3570.51624670405</v>
      </c>
      <c r="E366" s="156">
        <f t="shared" si="42"/>
        <v>0</v>
      </c>
      <c r="F366" s="156">
        <f t="shared" si="43"/>
        <v>0</v>
      </c>
      <c r="G366" s="156">
        <f t="shared" si="46"/>
        <v>0</v>
      </c>
      <c r="H366" s="156">
        <f t="shared" si="47"/>
        <v>0</v>
      </c>
      <c r="I366" s="156">
        <f t="shared" si="44"/>
        <v>0</v>
      </c>
      <c r="J366" s="156">
        <f>SUM($H$17:$H366)</f>
        <v>1423.0974802243</v>
      </c>
    </row>
    <row r="367" hidden="1" spans="1:10">
      <c r="A367" s="154">
        <v>350</v>
      </c>
      <c r="B367" s="155">
        <f ca="1" t="shared" si="41"/>
        <v>67573</v>
      </c>
      <c r="C367" s="156">
        <f t="shared" si="45"/>
        <v>0</v>
      </c>
      <c r="D367" s="156">
        <f t="shared" si="48"/>
        <v>3570.51624670405</v>
      </c>
      <c r="E367" s="156">
        <f t="shared" si="42"/>
        <v>0</v>
      </c>
      <c r="F367" s="156">
        <f t="shared" si="43"/>
        <v>0</v>
      </c>
      <c r="G367" s="156">
        <f t="shared" si="46"/>
        <v>0</v>
      </c>
      <c r="H367" s="156">
        <f t="shared" si="47"/>
        <v>0</v>
      </c>
      <c r="I367" s="156">
        <f t="shared" si="44"/>
        <v>0</v>
      </c>
      <c r="J367" s="156">
        <f>SUM($H$17:$H367)</f>
        <v>1423.0974802243</v>
      </c>
    </row>
    <row r="368" hidden="1" spans="1:10">
      <c r="A368" s="154">
        <v>351</v>
      </c>
      <c r="B368" s="155">
        <f ca="1" t="shared" si="41"/>
        <v>67632</v>
      </c>
      <c r="C368" s="156">
        <f t="shared" si="45"/>
        <v>0</v>
      </c>
      <c r="D368" s="156">
        <f t="shared" si="48"/>
        <v>3570.51624670405</v>
      </c>
      <c r="E368" s="156">
        <f t="shared" si="42"/>
        <v>0</v>
      </c>
      <c r="F368" s="156">
        <f t="shared" si="43"/>
        <v>0</v>
      </c>
      <c r="G368" s="156">
        <f t="shared" si="46"/>
        <v>0</v>
      </c>
      <c r="H368" s="156">
        <f t="shared" si="47"/>
        <v>0</v>
      </c>
      <c r="I368" s="156">
        <f t="shared" si="44"/>
        <v>0</v>
      </c>
      <c r="J368" s="156">
        <f>SUM($H$17:$H368)</f>
        <v>1423.0974802243</v>
      </c>
    </row>
    <row r="369" hidden="1" spans="1:10">
      <c r="A369" s="154">
        <v>352</v>
      </c>
      <c r="B369" s="155">
        <f ca="1" t="shared" si="41"/>
        <v>67693</v>
      </c>
      <c r="C369" s="156">
        <f t="shared" si="45"/>
        <v>0</v>
      </c>
      <c r="D369" s="156">
        <f t="shared" si="48"/>
        <v>3570.51624670405</v>
      </c>
      <c r="E369" s="156">
        <f t="shared" si="42"/>
        <v>0</v>
      </c>
      <c r="F369" s="156">
        <f t="shared" si="43"/>
        <v>0</v>
      </c>
      <c r="G369" s="156">
        <f t="shared" si="46"/>
        <v>0</v>
      </c>
      <c r="H369" s="156">
        <f t="shared" si="47"/>
        <v>0</v>
      </c>
      <c r="I369" s="156">
        <f t="shared" si="44"/>
        <v>0</v>
      </c>
      <c r="J369" s="156">
        <f>SUM($H$17:$H369)</f>
        <v>1423.0974802243</v>
      </c>
    </row>
    <row r="370" hidden="1" spans="1:10">
      <c r="A370" s="154">
        <v>353</v>
      </c>
      <c r="B370" s="155">
        <f ca="1" t="shared" si="41"/>
        <v>67754</v>
      </c>
      <c r="C370" s="156">
        <f t="shared" si="45"/>
        <v>0</v>
      </c>
      <c r="D370" s="156">
        <f t="shared" si="48"/>
        <v>3570.51624670405</v>
      </c>
      <c r="E370" s="156">
        <f t="shared" si="42"/>
        <v>0</v>
      </c>
      <c r="F370" s="156">
        <f t="shared" si="43"/>
        <v>0</v>
      </c>
      <c r="G370" s="156">
        <f t="shared" si="46"/>
        <v>0</v>
      </c>
      <c r="H370" s="156">
        <f t="shared" si="47"/>
        <v>0</v>
      </c>
      <c r="I370" s="156">
        <f t="shared" si="44"/>
        <v>0</v>
      </c>
      <c r="J370" s="156">
        <f>SUM($H$17:$H370)</f>
        <v>1423.0974802243</v>
      </c>
    </row>
    <row r="371" hidden="1" spans="1:10">
      <c r="A371" s="154">
        <v>354</v>
      </c>
      <c r="B371" s="155">
        <f ca="1" t="shared" si="41"/>
        <v>67816</v>
      </c>
      <c r="C371" s="156">
        <f t="shared" si="45"/>
        <v>0</v>
      </c>
      <c r="D371" s="156">
        <f t="shared" si="48"/>
        <v>3570.51624670405</v>
      </c>
      <c r="E371" s="156">
        <f t="shared" si="42"/>
        <v>0</v>
      </c>
      <c r="F371" s="156">
        <f t="shared" si="43"/>
        <v>0</v>
      </c>
      <c r="G371" s="156">
        <f t="shared" si="46"/>
        <v>0</v>
      </c>
      <c r="H371" s="156">
        <f t="shared" si="47"/>
        <v>0</v>
      </c>
      <c r="I371" s="156">
        <f t="shared" si="44"/>
        <v>0</v>
      </c>
      <c r="J371" s="156">
        <f>SUM($H$17:$H371)</f>
        <v>1423.0974802243</v>
      </c>
    </row>
    <row r="372" hidden="1" spans="1:10">
      <c r="A372" s="154">
        <v>355</v>
      </c>
      <c r="B372" s="155">
        <f ca="1" t="shared" si="41"/>
        <v>67877</v>
      </c>
      <c r="C372" s="156">
        <f t="shared" si="45"/>
        <v>0</v>
      </c>
      <c r="D372" s="156">
        <f t="shared" si="48"/>
        <v>3570.51624670405</v>
      </c>
      <c r="E372" s="156">
        <f t="shared" si="42"/>
        <v>0</v>
      </c>
      <c r="F372" s="156">
        <f t="shared" si="43"/>
        <v>0</v>
      </c>
      <c r="G372" s="156">
        <f t="shared" si="46"/>
        <v>0</v>
      </c>
      <c r="H372" s="156">
        <f t="shared" si="47"/>
        <v>0</v>
      </c>
      <c r="I372" s="156">
        <f t="shared" si="44"/>
        <v>0</v>
      </c>
      <c r="J372" s="156">
        <f>SUM($H$17:$H372)</f>
        <v>1423.0974802243</v>
      </c>
    </row>
    <row r="373" hidden="1" spans="1:10">
      <c r="A373" s="154">
        <v>356</v>
      </c>
      <c r="B373" s="155">
        <f ca="1" t="shared" si="41"/>
        <v>67938</v>
      </c>
      <c r="C373" s="156">
        <f t="shared" si="45"/>
        <v>0</v>
      </c>
      <c r="D373" s="156">
        <f t="shared" si="48"/>
        <v>3570.51624670405</v>
      </c>
      <c r="E373" s="156">
        <f t="shared" si="42"/>
        <v>0</v>
      </c>
      <c r="F373" s="156">
        <f t="shared" si="43"/>
        <v>0</v>
      </c>
      <c r="G373" s="156">
        <f t="shared" si="46"/>
        <v>0</v>
      </c>
      <c r="H373" s="156">
        <f t="shared" si="47"/>
        <v>0</v>
      </c>
      <c r="I373" s="156">
        <f t="shared" si="44"/>
        <v>0</v>
      </c>
      <c r="J373" s="156">
        <f>SUM($H$17:$H373)</f>
        <v>1423.0974802243</v>
      </c>
    </row>
    <row r="374" hidden="1" spans="1:10">
      <c r="A374" s="154">
        <v>357</v>
      </c>
      <c r="B374" s="155">
        <f ca="1" t="shared" si="41"/>
        <v>67997</v>
      </c>
      <c r="C374" s="156">
        <f t="shared" si="45"/>
        <v>0</v>
      </c>
      <c r="D374" s="156">
        <f t="shared" si="48"/>
        <v>3570.51624670405</v>
      </c>
      <c r="E374" s="156">
        <f t="shared" si="42"/>
        <v>0</v>
      </c>
      <c r="F374" s="156">
        <f t="shared" si="43"/>
        <v>0</v>
      </c>
      <c r="G374" s="156">
        <f t="shared" si="46"/>
        <v>0</v>
      </c>
      <c r="H374" s="156">
        <f t="shared" si="47"/>
        <v>0</v>
      </c>
      <c r="I374" s="156">
        <f t="shared" si="44"/>
        <v>0</v>
      </c>
      <c r="J374" s="156">
        <f>SUM($H$17:$H374)</f>
        <v>1423.0974802243</v>
      </c>
    </row>
    <row r="375" hidden="1" spans="1:10">
      <c r="A375" s="154">
        <v>358</v>
      </c>
      <c r="B375" s="155">
        <f ca="1" t="shared" si="41"/>
        <v>68058</v>
      </c>
      <c r="C375" s="156">
        <f t="shared" si="45"/>
        <v>0</v>
      </c>
      <c r="D375" s="156">
        <f t="shared" si="48"/>
        <v>3570.51624670405</v>
      </c>
      <c r="E375" s="156">
        <f t="shared" si="42"/>
        <v>0</v>
      </c>
      <c r="F375" s="156">
        <f t="shared" si="43"/>
        <v>0</v>
      </c>
      <c r="G375" s="156">
        <f t="shared" si="46"/>
        <v>0</v>
      </c>
      <c r="H375" s="156">
        <f t="shared" si="47"/>
        <v>0</v>
      </c>
      <c r="I375" s="156">
        <f t="shared" si="44"/>
        <v>0</v>
      </c>
      <c r="J375" s="156">
        <f>SUM($H$17:$H375)</f>
        <v>1423.0974802243</v>
      </c>
    </row>
    <row r="376" hidden="1" spans="1:10">
      <c r="A376" s="154">
        <v>359</v>
      </c>
      <c r="B376" s="155">
        <f ca="1" t="shared" si="41"/>
        <v>68119</v>
      </c>
      <c r="C376" s="156">
        <f t="shared" si="45"/>
        <v>0</v>
      </c>
      <c r="D376" s="156">
        <f t="shared" si="48"/>
        <v>3570.51624670405</v>
      </c>
      <c r="E376" s="156">
        <f t="shared" si="42"/>
        <v>0</v>
      </c>
      <c r="F376" s="156">
        <f t="shared" si="43"/>
        <v>0</v>
      </c>
      <c r="G376" s="156">
        <f t="shared" si="46"/>
        <v>0</v>
      </c>
      <c r="H376" s="156">
        <f t="shared" si="47"/>
        <v>0</v>
      </c>
      <c r="I376" s="156">
        <f t="shared" si="44"/>
        <v>0</v>
      </c>
      <c r="J376" s="156">
        <f>SUM($H$17:$H376)</f>
        <v>1423.0974802243</v>
      </c>
    </row>
    <row r="377" hidden="1" spans="1:10">
      <c r="A377" s="154">
        <v>360</v>
      </c>
      <c r="B377" s="155">
        <f ca="1" t="shared" si="41"/>
        <v>68181</v>
      </c>
      <c r="C377" s="156">
        <f t="shared" ref="C377:C440" si="49">IF(Pay_Num&lt;&gt;"",I376,"")</f>
        <v>0</v>
      </c>
      <c r="D377" s="156">
        <f t="shared" si="48"/>
        <v>3570.51624670405</v>
      </c>
      <c r="E377" s="156">
        <f t="shared" si="42"/>
        <v>0</v>
      </c>
      <c r="F377" s="156">
        <f t="shared" si="43"/>
        <v>0</v>
      </c>
      <c r="G377" s="156">
        <f t="shared" si="46"/>
        <v>0</v>
      </c>
      <c r="H377" s="156">
        <f t="shared" si="47"/>
        <v>0</v>
      </c>
      <c r="I377" s="156">
        <f t="shared" si="44"/>
        <v>0</v>
      </c>
      <c r="J377" s="156">
        <f>SUM($H$17:$H377)</f>
        <v>1423.0974802243</v>
      </c>
    </row>
    <row r="378" hidden="1" spans="1:10">
      <c r="A378" s="154">
        <v>361</v>
      </c>
      <c r="B378" s="155">
        <f ca="1" t="shared" si="41"/>
        <v>68242</v>
      </c>
      <c r="C378" s="156">
        <f t="shared" si="49"/>
        <v>0</v>
      </c>
      <c r="D378" s="156">
        <f t="shared" si="48"/>
        <v>3570.51624670405</v>
      </c>
      <c r="E378" s="156">
        <f t="shared" si="42"/>
        <v>0</v>
      </c>
      <c r="F378" s="156">
        <f t="shared" si="43"/>
        <v>0</v>
      </c>
      <c r="G378" s="156">
        <f t="shared" si="46"/>
        <v>0</v>
      </c>
      <c r="H378" s="156">
        <f t="shared" si="47"/>
        <v>0</v>
      </c>
      <c r="I378" s="156">
        <f t="shared" si="44"/>
        <v>0</v>
      </c>
      <c r="J378" s="156">
        <f>SUM($H$17:$H378)</f>
        <v>1423.0974802243</v>
      </c>
    </row>
    <row r="379" hidden="1" spans="1:10">
      <c r="A379" s="154">
        <v>362</v>
      </c>
      <c r="B379" s="155">
        <f ca="1" t="shared" si="41"/>
        <v>68303</v>
      </c>
      <c r="C379" s="156">
        <f t="shared" si="49"/>
        <v>0</v>
      </c>
      <c r="D379" s="156">
        <f t="shared" si="48"/>
        <v>3570.51624670405</v>
      </c>
      <c r="E379" s="156">
        <f t="shared" si="42"/>
        <v>0</v>
      </c>
      <c r="F379" s="156">
        <f t="shared" si="43"/>
        <v>0</v>
      </c>
      <c r="G379" s="156">
        <f t="shared" si="46"/>
        <v>0</v>
      </c>
      <c r="H379" s="156">
        <f t="shared" si="47"/>
        <v>0</v>
      </c>
      <c r="I379" s="156">
        <f t="shared" si="44"/>
        <v>0</v>
      </c>
      <c r="J379" s="156">
        <f>SUM($H$17:$H379)</f>
        <v>1423.0974802243</v>
      </c>
    </row>
    <row r="380" hidden="1" spans="1:10">
      <c r="A380" s="154">
        <v>363</v>
      </c>
      <c r="B380" s="155">
        <f ca="1" t="shared" si="41"/>
        <v>68362</v>
      </c>
      <c r="C380" s="156">
        <f t="shared" si="49"/>
        <v>0</v>
      </c>
      <c r="D380" s="156">
        <f t="shared" si="48"/>
        <v>3570.51624670405</v>
      </c>
      <c r="E380" s="156">
        <f t="shared" si="42"/>
        <v>0</v>
      </c>
      <c r="F380" s="156">
        <f t="shared" si="43"/>
        <v>0</v>
      </c>
      <c r="G380" s="156">
        <f t="shared" si="46"/>
        <v>0</v>
      </c>
      <c r="H380" s="156">
        <f t="shared" si="47"/>
        <v>0</v>
      </c>
      <c r="I380" s="156">
        <f t="shared" si="44"/>
        <v>0</v>
      </c>
      <c r="J380" s="156">
        <f>SUM($H$17:$H380)</f>
        <v>1423.0974802243</v>
      </c>
    </row>
    <row r="381" hidden="1" spans="1:10">
      <c r="A381" s="154">
        <v>364</v>
      </c>
      <c r="B381" s="155">
        <f ca="1" t="shared" si="41"/>
        <v>68423</v>
      </c>
      <c r="C381" s="156">
        <f t="shared" si="49"/>
        <v>0</v>
      </c>
      <c r="D381" s="156">
        <f t="shared" si="48"/>
        <v>3570.51624670405</v>
      </c>
      <c r="E381" s="156">
        <f t="shared" si="42"/>
        <v>0</v>
      </c>
      <c r="F381" s="156">
        <f t="shared" si="43"/>
        <v>0</v>
      </c>
      <c r="G381" s="156">
        <f t="shared" si="46"/>
        <v>0</v>
      </c>
      <c r="H381" s="156">
        <f t="shared" si="47"/>
        <v>0</v>
      </c>
      <c r="I381" s="156">
        <f t="shared" si="44"/>
        <v>0</v>
      </c>
      <c r="J381" s="156">
        <f>SUM($H$17:$H381)</f>
        <v>1423.0974802243</v>
      </c>
    </row>
    <row r="382" hidden="1" spans="1:10">
      <c r="A382" s="154">
        <v>365</v>
      </c>
      <c r="B382" s="155">
        <f ca="1" t="shared" si="41"/>
        <v>68484</v>
      </c>
      <c r="C382" s="156">
        <f t="shared" si="49"/>
        <v>0</v>
      </c>
      <c r="D382" s="156">
        <f t="shared" si="48"/>
        <v>3570.51624670405</v>
      </c>
      <c r="E382" s="156">
        <f t="shared" si="42"/>
        <v>0</v>
      </c>
      <c r="F382" s="156">
        <f t="shared" si="43"/>
        <v>0</v>
      </c>
      <c r="G382" s="156">
        <f t="shared" si="46"/>
        <v>0</v>
      </c>
      <c r="H382" s="156">
        <f t="shared" si="47"/>
        <v>0</v>
      </c>
      <c r="I382" s="156">
        <f t="shared" si="44"/>
        <v>0</v>
      </c>
      <c r="J382" s="156">
        <f>SUM($H$17:$H382)</f>
        <v>1423.0974802243</v>
      </c>
    </row>
    <row r="383" hidden="1" spans="1:10">
      <c r="A383" s="154">
        <v>366</v>
      </c>
      <c r="B383" s="155">
        <f ca="1" t="shared" si="41"/>
        <v>68546</v>
      </c>
      <c r="C383" s="156">
        <f t="shared" si="49"/>
        <v>0</v>
      </c>
      <c r="D383" s="156">
        <f t="shared" si="48"/>
        <v>3570.51624670405</v>
      </c>
      <c r="E383" s="156">
        <f t="shared" si="42"/>
        <v>0</v>
      </c>
      <c r="F383" s="156">
        <f t="shared" si="43"/>
        <v>0</v>
      </c>
      <c r="G383" s="156">
        <f t="shared" si="46"/>
        <v>0</v>
      </c>
      <c r="H383" s="156">
        <f t="shared" si="47"/>
        <v>0</v>
      </c>
      <c r="I383" s="156">
        <f t="shared" si="44"/>
        <v>0</v>
      </c>
      <c r="J383" s="156">
        <f>SUM($H$17:$H383)</f>
        <v>1423.0974802243</v>
      </c>
    </row>
    <row r="384" hidden="1" spans="1:10">
      <c r="A384" s="154">
        <v>367</v>
      </c>
      <c r="B384" s="155">
        <f ca="1" t="shared" si="41"/>
        <v>68607</v>
      </c>
      <c r="C384" s="156">
        <f t="shared" si="49"/>
        <v>0</v>
      </c>
      <c r="D384" s="156">
        <f t="shared" si="48"/>
        <v>3570.51624670405</v>
      </c>
      <c r="E384" s="156">
        <f t="shared" si="42"/>
        <v>0</v>
      </c>
      <c r="F384" s="156">
        <f t="shared" si="43"/>
        <v>0</v>
      </c>
      <c r="G384" s="156">
        <f t="shared" si="46"/>
        <v>0</v>
      </c>
      <c r="H384" s="156">
        <f t="shared" si="47"/>
        <v>0</v>
      </c>
      <c r="I384" s="156">
        <f t="shared" si="44"/>
        <v>0</v>
      </c>
      <c r="J384" s="156">
        <f>SUM($H$17:$H384)</f>
        <v>1423.0974802243</v>
      </c>
    </row>
    <row r="385" hidden="1" spans="1:10">
      <c r="A385" s="154">
        <v>368</v>
      </c>
      <c r="B385" s="155">
        <f ca="1" t="shared" si="41"/>
        <v>68668</v>
      </c>
      <c r="C385" s="156">
        <f t="shared" si="49"/>
        <v>0</v>
      </c>
      <c r="D385" s="156">
        <f t="shared" si="48"/>
        <v>3570.51624670405</v>
      </c>
      <c r="E385" s="156">
        <f t="shared" si="42"/>
        <v>0</v>
      </c>
      <c r="F385" s="156">
        <f t="shared" si="43"/>
        <v>0</v>
      </c>
      <c r="G385" s="156">
        <f t="shared" si="46"/>
        <v>0</v>
      </c>
      <c r="H385" s="156">
        <f t="shared" si="47"/>
        <v>0</v>
      </c>
      <c r="I385" s="156">
        <f t="shared" si="44"/>
        <v>0</v>
      </c>
      <c r="J385" s="156">
        <f>SUM($H$17:$H385)</f>
        <v>1423.0974802243</v>
      </c>
    </row>
    <row r="386" hidden="1" spans="1:10">
      <c r="A386" s="154">
        <v>369</v>
      </c>
      <c r="B386" s="155">
        <f ca="1" t="shared" si="41"/>
        <v>68728</v>
      </c>
      <c r="C386" s="156">
        <f t="shared" si="49"/>
        <v>0</v>
      </c>
      <c r="D386" s="156">
        <f t="shared" si="48"/>
        <v>3570.51624670405</v>
      </c>
      <c r="E386" s="156">
        <f t="shared" si="42"/>
        <v>0</v>
      </c>
      <c r="F386" s="156">
        <f t="shared" si="43"/>
        <v>0</v>
      </c>
      <c r="G386" s="156">
        <f t="shared" si="46"/>
        <v>0</v>
      </c>
      <c r="H386" s="156">
        <f t="shared" si="47"/>
        <v>0</v>
      </c>
      <c r="I386" s="156">
        <f t="shared" si="44"/>
        <v>0</v>
      </c>
      <c r="J386" s="156">
        <f>SUM($H$17:$H386)</f>
        <v>1423.0974802243</v>
      </c>
    </row>
    <row r="387" hidden="1" spans="1:10">
      <c r="A387" s="154">
        <v>370</v>
      </c>
      <c r="B387" s="155">
        <f ca="1" t="shared" si="41"/>
        <v>68789</v>
      </c>
      <c r="C387" s="156">
        <f t="shared" si="49"/>
        <v>0</v>
      </c>
      <c r="D387" s="156">
        <f t="shared" si="48"/>
        <v>3570.51624670405</v>
      </c>
      <c r="E387" s="156">
        <f t="shared" si="42"/>
        <v>0</v>
      </c>
      <c r="F387" s="156">
        <f t="shared" si="43"/>
        <v>0</v>
      </c>
      <c r="G387" s="156">
        <f t="shared" si="46"/>
        <v>0</v>
      </c>
      <c r="H387" s="156">
        <f t="shared" si="47"/>
        <v>0</v>
      </c>
      <c r="I387" s="156">
        <f t="shared" si="44"/>
        <v>0</v>
      </c>
      <c r="J387" s="156">
        <f>SUM($H$17:$H387)</f>
        <v>1423.0974802243</v>
      </c>
    </row>
    <row r="388" hidden="1" spans="1:10">
      <c r="A388" s="154">
        <v>371</v>
      </c>
      <c r="B388" s="155">
        <f ca="1" t="shared" si="41"/>
        <v>68850</v>
      </c>
      <c r="C388" s="156">
        <f t="shared" si="49"/>
        <v>0</v>
      </c>
      <c r="D388" s="156">
        <f t="shared" si="48"/>
        <v>3570.51624670405</v>
      </c>
      <c r="E388" s="156">
        <f t="shared" si="42"/>
        <v>0</v>
      </c>
      <c r="F388" s="156">
        <f t="shared" si="43"/>
        <v>0</v>
      </c>
      <c r="G388" s="156">
        <f t="shared" si="46"/>
        <v>0</v>
      </c>
      <c r="H388" s="156">
        <f t="shared" si="47"/>
        <v>0</v>
      </c>
      <c r="I388" s="156">
        <f t="shared" si="44"/>
        <v>0</v>
      </c>
      <c r="J388" s="156">
        <f>SUM($H$17:$H388)</f>
        <v>1423.0974802243</v>
      </c>
    </row>
    <row r="389" hidden="1" spans="1:10">
      <c r="A389" s="154">
        <v>372</v>
      </c>
      <c r="B389" s="155">
        <f ca="1" t="shared" si="41"/>
        <v>68912</v>
      </c>
      <c r="C389" s="156">
        <f t="shared" si="49"/>
        <v>0</v>
      </c>
      <c r="D389" s="156">
        <f t="shared" si="48"/>
        <v>3570.51624670405</v>
      </c>
      <c r="E389" s="156">
        <f t="shared" si="42"/>
        <v>0</v>
      </c>
      <c r="F389" s="156">
        <f t="shared" si="43"/>
        <v>0</v>
      </c>
      <c r="G389" s="156">
        <f t="shared" si="46"/>
        <v>0</v>
      </c>
      <c r="H389" s="156">
        <f t="shared" si="47"/>
        <v>0</v>
      </c>
      <c r="I389" s="156">
        <f t="shared" si="44"/>
        <v>0</v>
      </c>
      <c r="J389" s="156">
        <f>SUM($H$17:$H389)</f>
        <v>1423.0974802243</v>
      </c>
    </row>
    <row r="390" hidden="1" spans="1:10">
      <c r="A390" s="154">
        <v>373</v>
      </c>
      <c r="B390" s="155">
        <f ca="1" t="shared" si="41"/>
        <v>68973</v>
      </c>
      <c r="C390" s="156">
        <f t="shared" si="49"/>
        <v>0</v>
      </c>
      <c r="D390" s="156">
        <f t="shared" si="48"/>
        <v>3570.51624670405</v>
      </c>
      <c r="E390" s="156">
        <f t="shared" si="42"/>
        <v>0</v>
      </c>
      <c r="F390" s="156">
        <f t="shared" si="43"/>
        <v>0</v>
      </c>
      <c r="G390" s="156">
        <f t="shared" si="46"/>
        <v>0</v>
      </c>
      <c r="H390" s="156">
        <f t="shared" si="47"/>
        <v>0</v>
      </c>
      <c r="I390" s="156">
        <f t="shared" si="44"/>
        <v>0</v>
      </c>
      <c r="J390" s="156">
        <f>SUM($H$17:$H390)</f>
        <v>1423.0974802243</v>
      </c>
    </row>
    <row r="391" hidden="1" spans="1:10">
      <c r="A391" s="154">
        <v>374</v>
      </c>
      <c r="B391" s="155">
        <f ca="1" t="shared" si="41"/>
        <v>69034</v>
      </c>
      <c r="C391" s="156">
        <f t="shared" si="49"/>
        <v>0</v>
      </c>
      <c r="D391" s="156">
        <f t="shared" si="48"/>
        <v>3570.51624670405</v>
      </c>
      <c r="E391" s="156">
        <f t="shared" si="42"/>
        <v>0</v>
      </c>
      <c r="F391" s="156">
        <f t="shared" si="43"/>
        <v>0</v>
      </c>
      <c r="G391" s="156">
        <f t="shared" si="46"/>
        <v>0</v>
      </c>
      <c r="H391" s="156">
        <f t="shared" si="47"/>
        <v>0</v>
      </c>
      <c r="I391" s="156">
        <f t="shared" si="44"/>
        <v>0</v>
      </c>
      <c r="J391" s="156">
        <f>SUM($H$17:$H391)</f>
        <v>1423.0974802243</v>
      </c>
    </row>
    <row r="392" hidden="1" spans="1:10">
      <c r="A392" s="154">
        <v>375</v>
      </c>
      <c r="B392" s="155">
        <f ca="1" t="shared" si="41"/>
        <v>69093</v>
      </c>
      <c r="C392" s="156">
        <f t="shared" si="49"/>
        <v>0</v>
      </c>
      <c r="D392" s="156">
        <f t="shared" si="48"/>
        <v>3570.51624670405</v>
      </c>
      <c r="E392" s="156">
        <f t="shared" si="42"/>
        <v>0</v>
      </c>
      <c r="F392" s="156">
        <f t="shared" si="43"/>
        <v>0</v>
      </c>
      <c r="G392" s="156">
        <f t="shared" si="46"/>
        <v>0</v>
      </c>
      <c r="H392" s="156">
        <f t="shared" si="47"/>
        <v>0</v>
      </c>
      <c r="I392" s="156">
        <f t="shared" si="44"/>
        <v>0</v>
      </c>
      <c r="J392" s="156">
        <f>SUM($H$17:$H392)</f>
        <v>1423.0974802243</v>
      </c>
    </row>
    <row r="393" hidden="1" spans="1:10">
      <c r="A393" s="154">
        <v>376</v>
      </c>
      <c r="B393" s="155">
        <f ca="1" t="shared" si="41"/>
        <v>69154</v>
      </c>
      <c r="C393" s="156">
        <f t="shared" si="49"/>
        <v>0</v>
      </c>
      <c r="D393" s="156">
        <f t="shared" si="48"/>
        <v>3570.51624670405</v>
      </c>
      <c r="E393" s="156">
        <f t="shared" si="42"/>
        <v>0</v>
      </c>
      <c r="F393" s="156">
        <f t="shared" si="43"/>
        <v>0</v>
      </c>
      <c r="G393" s="156">
        <f t="shared" si="46"/>
        <v>0</v>
      </c>
      <c r="H393" s="156">
        <f t="shared" si="47"/>
        <v>0</v>
      </c>
      <c r="I393" s="156">
        <f t="shared" si="44"/>
        <v>0</v>
      </c>
      <c r="J393" s="156">
        <f>SUM($H$17:$H393)</f>
        <v>1423.0974802243</v>
      </c>
    </row>
    <row r="394" hidden="1" spans="1:10">
      <c r="A394" s="154">
        <v>377</v>
      </c>
      <c r="B394" s="155">
        <f ca="1" t="shared" si="41"/>
        <v>69215</v>
      </c>
      <c r="C394" s="156">
        <f t="shared" si="49"/>
        <v>0</v>
      </c>
      <c r="D394" s="156">
        <f t="shared" si="48"/>
        <v>3570.51624670405</v>
      </c>
      <c r="E394" s="156">
        <f t="shared" si="42"/>
        <v>0</v>
      </c>
      <c r="F394" s="156">
        <f t="shared" si="43"/>
        <v>0</v>
      </c>
      <c r="G394" s="156">
        <f t="shared" si="46"/>
        <v>0</v>
      </c>
      <c r="H394" s="156">
        <f t="shared" si="47"/>
        <v>0</v>
      </c>
      <c r="I394" s="156">
        <f t="shared" si="44"/>
        <v>0</v>
      </c>
      <c r="J394" s="156">
        <f>SUM($H$17:$H394)</f>
        <v>1423.0974802243</v>
      </c>
    </row>
    <row r="395" hidden="1" spans="1:10">
      <c r="A395" s="154">
        <v>378</v>
      </c>
      <c r="B395" s="155">
        <f ca="1" t="shared" si="41"/>
        <v>69277</v>
      </c>
      <c r="C395" s="156">
        <f t="shared" si="49"/>
        <v>0</v>
      </c>
      <c r="D395" s="156">
        <f t="shared" si="48"/>
        <v>3570.51624670405</v>
      </c>
      <c r="E395" s="156">
        <f t="shared" si="42"/>
        <v>0</v>
      </c>
      <c r="F395" s="156">
        <f t="shared" si="43"/>
        <v>0</v>
      </c>
      <c r="G395" s="156">
        <f t="shared" si="46"/>
        <v>0</v>
      </c>
      <c r="H395" s="156">
        <f t="shared" si="47"/>
        <v>0</v>
      </c>
      <c r="I395" s="156">
        <f t="shared" si="44"/>
        <v>0</v>
      </c>
      <c r="J395" s="156">
        <f>SUM($H$17:$H395)</f>
        <v>1423.0974802243</v>
      </c>
    </row>
    <row r="396" hidden="1" spans="1:10">
      <c r="A396" s="154">
        <v>379</v>
      </c>
      <c r="B396" s="155">
        <f ca="1" t="shared" si="41"/>
        <v>69338</v>
      </c>
      <c r="C396" s="156">
        <f t="shared" si="49"/>
        <v>0</v>
      </c>
      <c r="D396" s="156">
        <f t="shared" si="48"/>
        <v>3570.51624670405</v>
      </c>
      <c r="E396" s="156">
        <f t="shared" si="42"/>
        <v>0</v>
      </c>
      <c r="F396" s="156">
        <f t="shared" si="43"/>
        <v>0</v>
      </c>
      <c r="G396" s="156">
        <f t="shared" si="46"/>
        <v>0</v>
      </c>
      <c r="H396" s="156">
        <f t="shared" si="47"/>
        <v>0</v>
      </c>
      <c r="I396" s="156">
        <f t="shared" si="44"/>
        <v>0</v>
      </c>
      <c r="J396" s="156">
        <f>SUM($H$17:$H396)</f>
        <v>1423.0974802243</v>
      </c>
    </row>
    <row r="397" hidden="1" spans="1:10">
      <c r="A397" s="154">
        <v>380</v>
      </c>
      <c r="B397" s="155">
        <f ca="1" t="shared" si="41"/>
        <v>69399</v>
      </c>
      <c r="C397" s="156">
        <f t="shared" si="49"/>
        <v>0</v>
      </c>
      <c r="D397" s="156">
        <f t="shared" si="48"/>
        <v>3570.51624670405</v>
      </c>
      <c r="E397" s="156">
        <f t="shared" si="42"/>
        <v>0</v>
      </c>
      <c r="F397" s="156">
        <f t="shared" si="43"/>
        <v>0</v>
      </c>
      <c r="G397" s="156">
        <f t="shared" si="46"/>
        <v>0</v>
      </c>
      <c r="H397" s="156">
        <f t="shared" si="47"/>
        <v>0</v>
      </c>
      <c r="I397" s="156">
        <f t="shared" si="44"/>
        <v>0</v>
      </c>
      <c r="J397" s="156">
        <f>SUM($H$17:$H397)</f>
        <v>1423.0974802243</v>
      </c>
    </row>
    <row r="398" hidden="1" spans="1:10">
      <c r="A398" s="154">
        <v>381</v>
      </c>
      <c r="B398" s="155">
        <f ca="1" t="shared" si="41"/>
        <v>69458</v>
      </c>
      <c r="C398" s="156">
        <f t="shared" si="49"/>
        <v>0</v>
      </c>
      <c r="D398" s="156">
        <f t="shared" si="48"/>
        <v>3570.51624670405</v>
      </c>
      <c r="E398" s="156">
        <f t="shared" si="42"/>
        <v>0</v>
      </c>
      <c r="F398" s="156">
        <f t="shared" si="43"/>
        <v>0</v>
      </c>
      <c r="G398" s="156">
        <f t="shared" si="46"/>
        <v>0</v>
      </c>
      <c r="H398" s="156">
        <f t="shared" si="47"/>
        <v>0</v>
      </c>
      <c r="I398" s="156">
        <f t="shared" si="44"/>
        <v>0</v>
      </c>
      <c r="J398" s="156">
        <f>SUM($H$17:$H398)</f>
        <v>1423.0974802243</v>
      </c>
    </row>
    <row r="399" hidden="1" spans="1:10">
      <c r="A399" s="154">
        <v>382</v>
      </c>
      <c r="B399" s="155">
        <f ca="1" t="shared" si="41"/>
        <v>69519</v>
      </c>
      <c r="C399" s="156">
        <f t="shared" si="49"/>
        <v>0</v>
      </c>
      <c r="D399" s="156">
        <f t="shared" si="48"/>
        <v>3570.51624670405</v>
      </c>
      <c r="E399" s="156">
        <f t="shared" si="42"/>
        <v>0</v>
      </c>
      <c r="F399" s="156">
        <f t="shared" si="43"/>
        <v>0</v>
      </c>
      <c r="G399" s="156">
        <f t="shared" si="46"/>
        <v>0</v>
      </c>
      <c r="H399" s="156">
        <f t="shared" si="47"/>
        <v>0</v>
      </c>
      <c r="I399" s="156">
        <f t="shared" si="44"/>
        <v>0</v>
      </c>
      <c r="J399" s="156">
        <f>SUM($H$17:$H399)</f>
        <v>1423.0974802243</v>
      </c>
    </row>
    <row r="400" hidden="1" spans="1:10">
      <c r="A400" s="154">
        <v>383</v>
      </c>
      <c r="B400" s="155">
        <f ca="1" t="shared" si="41"/>
        <v>69580</v>
      </c>
      <c r="C400" s="156">
        <f t="shared" si="49"/>
        <v>0</v>
      </c>
      <c r="D400" s="156">
        <f t="shared" si="48"/>
        <v>3570.51624670405</v>
      </c>
      <c r="E400" s="156">
        <f t="shared" si="42"/>
        <v>0</v>
      </c>
      <c r="F400" s="156">
        <f t="shared" si="43"/>
        <v>0</v>
      </c>
      <c r="G400" s="156">
        <f t="shared" si="46"/>
        <v>0</v>
      </c>
      <c r="H400" s="156">
        <f t="shared" si="47"/>
        <v>0</v>
      </c>
      <c r="I400" s="156">
        <f t="shared" si="44"/>
        <v>0</v>
      </c>
      <c r="J400" s="156">
        <f>SUM($H$17:$H400)</f>
        <v>1423.0974802243</v>
      </c>
    </row>
    <row r="401" hidden="1" spans="1:10">
      <c r="A401" s="154">
        <v>384</v>
      </c>
      <c r="B401" s="155">
        <f ca="1" t="shared" si="41"/>
        <v>69642</v>
      </c>
      <c r="C401" s="156">
        <f t="shared" si="49"/>
        <v>0</v>
      </c>
      <c r="D401" s="156">
        <f t="shared" si="48"/>
        <v>3570.51624670405</v>
      </c>
      <c r="E401" s="156">
        <f t="shared" si="42"/>
        <v>0</v>
      </c>
      <c r="F401" s="156">
        <f t="shared" si="43"/>
        <v>0</v>
      </c>
      <c r="G401" s="156">
        <f t="shared" si="46"/>
        <v>0</v>
      </c>
      <c r="H401" s="156">
        <f t="shared" si="47"/>
        <v>0</v>
      </c>
      <c r="I401" s="156">
        <f t="shared" si="44"/>
        <v>0</v>
      </c>
      <c r="J401" s="156">
        <f>SUM($H$17:$H401)</f>
        <v>1423.0974802243</v>
      </c>
    </row>
    <row r="402" hidden="1" spans="1:10">
      <c r="A402" s="154">
        <v>385</v>
      </c>
      <c r="B402" s="155">
        <f ca="1" t="shared" ref="B402:B465" si="50">IF(Pay_Num&lt;&gt;"",DATE(YEAR(Loan_Start),MONTH(Loan_Start)+(Pay_Num)*12/Num_Pmt_Per_Year,DAY(Loan_Start)),"")</f>
        <v>69703</v>
      </c>
      <c r="C402" s="156">
        <f t="shared" si="49"/>
        <v>0</v>
      </c>
      <c r="D402" s="156">
        <f t="shared" si="48"/>
        <v>3570.51624670405</v>
      </c>
      <c r="E402" s="156">
        <f t="shared" ref="E402:E465" si="51">IF(AND(Pay_Num&lt;&gt;"",Sched_Pay+Scheduled_Extra_Payments&lt;Beg_Bal),Scheduled_Extra_Payments,IF(AND(Pay_Num&lt;&gt;"",Beg_Bal-Sched_Pay&gt;0),Beg_Bal-Sched_Pay,IF(Pay_Num&lt;&gt;"",0,"")))</f>
        <v>0</v>
      </c>
      <c r="F402" s="156">
        <f t="shared" ref="F402:F465" si="52">IF(AND(Pay_Num&lt;&gt;"",Sched_Pay+Extra_Pay&lt;Beg_Bal),Sched_Pay+Extra_Pay,IF(Pay_Num&lt;&gt;"",Beg_Bal,""))</f>
        <v>0</v>
      </c>
      <c r="G402" s="156">
        <f t="shared" si="46"/>
        <v>0</v>
      </c>
      <c r="H402" s="156">
        <f t="shared" si="47"/>
        <v>0</v>
      </c>
      <c r="I402" s="156">
        <f t="shared" ref="I402:I465" si="53">IF(AND(Pay_Num&lt;&gt;"",Sched_Pay+Extra_Pay&lt;Beg_Bal),Beg_Bal-Princ,IF(Pay_Num&lt;&gt;"",0,""))</f>
        <v>0</v>
      </c>
      <c r="J402" s="156">
        <f>SUM($H$17:$H402)</f>
        <v>1423.0974802243</v>
      </c>
    </row>
    <row r="403" hidden="1" spans="1:10">
      <c r="A403" s="154">
        <v>386</v>
      </c>
      <c r="B403" s="155">
        <f ca="1" t="shared" si="50"/>
        <v>69764</v>
      </c>
      <c r="C403" s="156">
        <f t="shared" si="49"/>
        <v>0</v>
      </c>
      <c r="D403" s="156">
        <f t="shared" si="48"/>
        <v>3570.51624670405</v>
      </c>
      <c r="E403" s="156">
        <f t="shared" si="51"/>
        <v>0</v>
      </c>
      <c r="F403" s="156">
        <f t="shared" si="52"/>
        <v>0</v>
      </c>
      <c r="G403" s="156">
        <f t="shared" ref="G403:G466" si="54">IF(Pay_Num&lt;&gt;"",Total_Pay-Int,"")</f>
        <v>0</v>
      </c>
      <c r="H403" s="156">
        <f t="shared" ref="H403:H466" si="55">IF(Pay_Num&lt;&gt;"",Beg_Bal*Interest_Rate/Num_Pmt_Per_Year,"")</f>
        <v>0</v>
      </c>
      <c r="I403" s="156">
        <f t="shared" si="53"/>
        <v>0</v>
      </c>
      <c r="J403" s="156">
        <f>SUM($H$17:$H403)</f>
        <v>1423.0974802243</v>
      </c>
    </row>
    <row r="404" hidden="1" spans="1:10">
      <c r="A404" s="154">
        <v>387</v>
      </c>
      <c r="B404" s="155">
        <f ca="1" t="shared" si="50"/>
        <v>69823</v>
      </c>
      <c r="C404" s="156">
        <f t="shared" si="49"/>
        <v>0</v>
      </c>
      <c r="D404" s="156">
        <f t="shared" ref="D404:D467" si="56">IF(Pay_Num&lt;&gt;"",Scheduled_Monthly_Payment,"")</f>
        <v>3570.51624670405</v>
      </c>
      <c r="E404" s="156">
        <f t="shared" si="51"/>
        <v>0</v>
      </c>
      <c r="F404" s="156">
        <f t="shared" si="52"/>
        <v>0</v>
      </c>
      <c r="G404" s="156">
        <f t="shared" si="54"/>
        <v>0</v>
      </c>
      <c r="H404" s="156">
        <f t="shared" si="55"/>
        <v>0</v>
      </c>
      <c r="I404" s="156">
        <f t="shared" si="53"/>
        <v>0</v>
      </c>
      <c r="J404" s="156">
        <f>SUM($H$17:$H404)</f>
        <v>1423.0974802243</v>
      </c>
    </row>
    <row r="405" hidden="1" spans="1:10">
      <c r="A405" s="154">
        <v>388</v>
      </c>
      <c r="B405" s="155">
        <f ca="1" t="shared" si="50"/>
        <v>69884</v>
      </c>
      <c r="C405" s="156">
        <f t="shared" si="49"/>
        <v>0</v>
      </c>
      <c r="D405" s="156">
        <f t="shared" si="56"/>
        <v>3570.51624670405</v>
      </c>
      <c r="E405" s="156">
        <f t="shared" si="51"/>
        <v>0</v>
      </c>
      <c r="F405" s="156">
        <f t="shared" si="52"/>
        <v>0</v>
      </c>
      <c r="G405" s="156">
        <f t="shared" si="54"/>
        <v>0</v>
      </c>
      <c r="H405" s="156">
        <f t="shared" si="55"/>
        <v>0</v>
      </c>
      <c r="I405" s="156">
        <f t="shared" si="53"/>
        <v>0</v>
      </c>
      <c r="J405" s="156">
        <f>SUM($H$17:$H405)</f>
        <v>1423.0974802243</v>
      </c>
    </row>
    <row r="406" hidden="1" spans="1:10">
      <c r="A406" s="154">
        <v>389</v>
      </c>
      <c r="B406" s="155">
        <f ca="1" t="shared" si="50"/>
        <v>69945</v>
      </c>
      <c r="C406" s="156">
        <f t="shared" si="49"/>
        <v>0</v>
      </c>
      <c r="D406" s="156">
        <f t="shared" si="56"/>
        <v>3570.51624670405</v>
      </c>
      <c r="E406" s="156">
        <f t="shared" si="51"/>
        <v>0</v>
      </c>
      <c r="F406" s="156">
        <f t="shared" si="52"/>
        <v>0</v>
      </c>
      <c r="G406" s="156">
        <f t="shared" si="54"/>
        <v>0</v>
      </c>
      <c r="H406" s="156">
        <f t="shared" si="55"/>
        <v>0</v>
      </c>
      <c r="I406" s="156">
        <f t="shared" si="53"/>
        <v>0</v>
      </c>
      <c r="J406" s="156">
        <f>SUM($H$17:$H406)</f>
        <v>1423.0974802243</v>
      </c>
    </row>
    <row r="407" hidden="1" spans="1:10">
      <c r="A407" s="154">
        <v>390</v>
      </c>
      <c r="B407" s="155">
        <f ca="1" t="shared" si="50"/>
        <v>70007</v>
      </c>
      <c r="C407" s="156">
        <f t="shared" si="49"/>
        <v>0</v>
      </c>
      <c r="D407" s="156">
        <f t="shared" si="56"/>
        <v>3570.51624670405</v>
      </c>
      <c r="E407" s="156">
        <f t="shared" si="51"/>
        <v>0</v>
      </c>
      <c r="F407" s="156">
        <f t="shared" si="52"/>
        <v>0</v>
      </c>
      <c r="G407" s="156">
        <f t="shared" si="54"/>
        <v>0</v>
      </c>
      <c r="H407" s="156">
        <f t="shared" si="55"/>
        <v>0</v>
      </c>
      <c r="I407" s="156">
        <f t="shared" si="53"/>
        <v>0</v>
      </c>
      <c r="J407" s="156">
        <f>SUM($H$17:$H407)</f>
        <v>1423.0974802243</v>
      </c>
    </row>
    <row r="408" hidden="1" spans="1:10">
      <c r="A408" s="154">
        <v>391</v>
      </c>
      <c r="B408" s="155">
        <f ca="1" t="shared" si="50"/>
        <v>70068</v>
      </c>
      <c r="C408" s="156">
        <f t="shared" si="49"/>
        <v>0</v>
      </c>
      <c r="D408" s="156">
        <f t="shared" si="56"/>
        <v>3570.51624670405</v>
      </c>
      <c r="E408" s="156">
        <f t="shared" si="51"/>
        <v>0</v>
      </c>
      <c r="F408" s="156">
        <f t="shared" si="52"/>
        <v>0</v>
      </c>
      <c r="G408" s="156">
        <f t="shared" si="54"/>
        <v>0</v>
      </c>
      <c r="H408" s="156">
        <f t="shared" si="55"/>
        <v>0</v>
      </c>
      <c r="I408" s="156">
        <f t="shared" si="53"/>
        <v>0</v>
      </c>
      <c r="J408" s="156">
        <f>SUM($H$17:$H408)</f>
        <v>1423.0974802243</v>
      </c>
    </row>
    <row r="409" hidden="1" spans="1:10">
      <c r="A409" s="154">
        <v>392</v>
      </c>
      <c r="B409" s="155">
        <f ca="1" t="shared" si="50"/>
        <v>70129</v>
      </c>
      <c r="C409" s="156">
        <f t="shared" si="49"/>
        <v>0</v>
      </c>
      <c r="D409" s="156">
        <f t="shared" si="56"/>
        <v>3570.51624670405</v>
      </c>
      <c r="E409" s="156">
        <f t="shared" si="51"/>
        <v>0</v>
      </c>
      <c r="F409" s="156">
        <f t="shared" si="52"/>
        <v>0</v>
      </c>
      <c r="G409" s="156">
        <f t="shared" si="54"/>
        <v>0</v>
      </c>
      <c r="H409" s="156">
        <f t="shared" si="55"/>
        <v>0</v>
      </c>
      <c r="I409" s="156">
        <f t="shared" si="53"/>
        <v>0</v>
      </c>
      <c r="J409" s="156">
        <f>SUM($H$17:$H409)</f>
        <v>1423.0974802243</v>
      </c>
    </row>
    <row r="410" hidden="1" spans="1:10">
      <c r="A410" s="154">
        <v>393</v>
      </c>
      <c r="B410" s="155">
        <f ca="1" t="shared" si="50"/>
        <v>70189</v>
      </c>
      <c r="C410" s="156">
        <f t="shared" si="49"/>
        <v>0</v>
      </c>
      <c r="D410" s="156">
        <f t="shared" si="56"/>
        <v>3570.51624670405</v>
      </c>
      <c r="E410" s="156">
        <f t="shared" si="51"/>
        <v>0</v>
      </c>
      <c r="F410" s="156">
        <f t="shared" si="52"/>
        <v>0</v>
      </c>
      <c r="G410" s="156">
        <f t="shared" si="54"/>
        <v>0</v>
      </c>
      <c r="H410" s="156">
        <f t="shared" si="55"/>
        <v>0</v>
      </c>
      <c r="I410" s="156">
        <f t="shared" si="53"/>
        <v>0</v>
      </c>
      <c r="J410" s="156">
        <f>SUM($H$17:$H410)</f>
        <v>1423.0974802243</v>
      </c>
    </row>
    <row r="411" hidden="1" spans="1:10">
      <c r="A411" s="154">
        <v>394</v>
      </c>
      <c r="B411" s="155">
        <f ca="1" t="shared" si="50"/>
        <v>70250</v>
      </c>
      <c r="C411" s="156">
        <f t="shared" si="49"/>
        <v>0</v>
      </c>
      <c r="D411" s="156">
        <f t="shared" si="56"/>
        <v>3570.51624670405</v>
      </c>
      <c r="E411" s="156">
        <f t="shared" si="51"/>
        <v>0</v>
      </c>
      <c r="F411" s="156">
        <f t="shared" si="52"/>
        <v>0</v>
      </c>
      <c r="G411" s="156">
        <f t="shared" si="54"/>
        <v>0</v>
      </c>
      <c r="H411" s="156">
        <f t="shared" si="55"/>
        <v>0</v>
      </c>
      <c r="I411" s="156">
        <f t="shared" si="53"/>
        <v>0</v>
      </c>
      <c r="J411" s="156">
        <f>SUM($H$17:$H411)</f>
        <v>1423.0974802243</v>
      </c>
    </row>
    <row r="412" hidden="1" spans="1:10">
      <c r="A412" s="154">
        <v>395</v>
      </c>
      <c r="B412" s="155">
        <f ca="1" t="shared" si="50"/>
        <v>70311</v>
      </c>
      <c r="C412" s="156">
        <f t="shared" si="49"/>
        <v>0</v>
      </c>
      <c r="D412" s="156">
        <f t="shared" si="56"/>
        <v>3570.51624670405</v>
      </c>
      <c r="E412" s="156">
        <f t="shared" si="51"/>
        <v>0</v>
      </c>
      <c r="F412" s="156">
        <f t="shared" si="52"/>
        <v>0</v>
      </c>
      <c r="G412" s="156">
        <f t="shared" si="54"/>
        <v>0</v>
      </c>
      <c r="H412" s="156">
        <f t="shared" si="55"/>
        <v>0</v>
      </c>
      <c r="I412" s="156">
        <f t="shared" si="53"/>
        <v>0</v>
      </c>
      <c r="J412" s="156">
        <f>SUM($H$17:$H412)</f>
        <v>1423.0974802243</v>
      </c>
    </row>
    <row r="413" hidden="1" spans="1:10">
      <c r="A413" s="154">
        <v>396</v>
      </c>
      <c r="B413" s="155">
        <f ca="1" t="shared" si="50"/>
        <v>70373</v>
      </c>
      <c r="C413" s="156">
        <f t="shared" si="49"/>
        <v>0</v>
      </c>
      <c r="D413" s="156">
        <f t="shared" si="56"/>
        <v>3570.51624670405</v>
      </c>
      <c r="E413" s="156">
        <f t="shared" si="51"/>
        <v>0</v>
      </c>
      <c r="F413" s="156">
        <f t="shared" si="52"/>
        <v>0</v>
      </c>
      <c r="G413" s="156">
        <f t="shared" si="54"/>
        <v>0</v>
      </c>
      <c r="H413" s="156">
        <f t="shared" si="55"/>
        <v>0</v>
      </c>
      <c r="I413" s="156">
        <f t="shared" si="53"/>
        <v>0</v>
      </c>
      <c r="J413" s="156">
        <f>SUM($H$17:$H413)</f>
        <v>1423.0974802243</v>
      </c>
    </row>
    <row r="414" hidden="1" spans="1:10">
      <c r="A414" s="154">
        <v>397</v>
      </c>
      <c r="B414" s="155">
        <f ca="1" t="shared" si="50"/>
        <v>70434</v>
      </c>
      <c r="C414" s="156">
        <f t="shared" si="49"/>
        <v>0</v>
      </c>
      <c r="D414" s="156">
        <f t="shared" si="56"/>
        <v>3570.51624670405</v>
      </c>
      <c r="E414" s="156">
        <f t="shared" si="51"/>
        <v>0</v>
      </c>
      <c r="F414" s="156">
        <f t="shared" si="52"/>
        <v>0</v>
      </c>
      <c r="G414" s="156">
        <f t="shared" si="54"/>
        <v>0</v>
      </c>
      <c r="H414" s="156">
        <f t="shared" si="55"/>
        <v>0</v>
      </c>
      <c r="I414" s="156">
        <f t="shared" si="53"/>
        <v>0</v>
      </c>
      <c r="J414" s="156">
        <f>SUM($H$17:$H414)</f>
        <v>1423.0974802243</v>
      </c>
    </row>
    <row r="415" hidden="1" spans="1:10">
      <c r="A415" s="154">
        <v>398</v>
      </c>
      <c r="B415" s="155">
        <f ca="1" t="shared" si="50"/>
        <v>70495</v>
      </c>
      <c r="C415" s="156">
        <f t="shared" si="49"/>
        <v>0</v>
      </c>
      <c r="D415" s="156">
        <f t="shared" si="56"/>
        <v>3570.51624670405</v>
      </c>
      <c r="E415" s="156">
        <f t="shared" si="51"/>
        <v>0</v>
      </c>
      <c r="F415" s="156">
        <f t="shared" si="52"/>
        <v>0</v>
      </c>
      <c r="G415" s="156">
        <f t="shared" si="54"/>
        <v>0</v>
      </c>
      <c r="H415" s="156">
        <f t="shared" si="55"/>
        <v>0</v>
      </c>
      <c r="I415" s="156">
        <f t="shared" si="53"/>
        <v>0</v>
      </c>
      <c r="J415" s="156">
        <f>SUM($H$17:$H415)</f>
        <v>1423.0974802243</v>
      </c>
    </row>
    <row r="416" hidden="1" spans="1:10">
      <c r="A416" s="154">
        <v>399</v>
      </c>
      <c r="B416" s="155">
        <f ca="1" t="shared" si="50"/>
        <v>70554</v>
      </c>
      <c r="C416" s="156">
        <f t="shared" si="49"/>
        <v>0</v>
      </c>
      <c r="D416" s="156">
        <f t="shared" si="56"/>
        <v>3570.51624670405</v>
      </c>
      <c r="E416" s="156">
        <f t="shared" si="51"/>
        <v>0</v>
      </c>
      <c r="F416" s="156">
        <f t="shared" si="52"/>
        <v>0</v>
      </c>
      <c r="G416" s="156">
        <f t="shared" si="54"/>
        <v>0</v>
      </c>
      <c r="H416" s="156">
        <f t="shared" si="55"/>
        <v>0</v>
      </c>
      <c r="I416" s="156">
        <f t="shared" si="53"/>
        <v>0</v>
      </c>
      <c r="J416" s="156">
        <f>SUM($H$17:$H416)</f>
        <v>1423.0974802243</v>
      </c>
    </row>
    <row r="417" hidden="1" spans="1:10">
      <c r="A417" s="154">
        <v>400</v>
      </c>
      <c r="B417" s="155">
        <f ca="1" t="shared" si="50"/>
        <v>70615</v>
      </c>
      <c r="C417" s="156">
        <f t="shared" si="49"/>
        <v>0</v>
      </c>
      <c r="D417" s="156">
        <f t="shared" si="56"/>
        <v>3570.51624670405</v>
      </c>
      <c r="E417" s="156">
        <f t="shared" si="51"/>
        <v>0</v>
      </c>
      <c r="F417" s="156">
        <f t="shared" si="52"/>
        <v>0</v>
      </c>
      <c r="G417" s="156">
        <f t="shared" si="54"/>
        <v>0</v>
      </c>
      <c r="H417" s="156">
        <f t="shared" si="55"/>
        <v>0</v>
      </c>
      <c r="I417" s="156">
        <f t="shared" si="53"/>
        <v>0</v>
      </c>
      <c r="J417" s="156">
        <f>SUM($H$17:$H417)</f>
        <v>1423.0974802243</v>
      </c>
    </row>
    <row r="418" hidden="1" spans="1:10">
      <c r="A418" s="154">
        <v>401</v>
      </c>
      <c r="B418" s="155">
        <f ca="1" t="shared" si="50"/>
        <v>70676</v>
      </c>
      <c r="C418" s="156">
        <f t="shared" si="49"/>
        <v>0</v>
      </c>
      <c r="D418" s="156">
        <f t="shared" si="56"/>
        <v>3570.51624670405</v>
      </c>
      <c r="E418" s="156">
        <f t="shared" si="51"/>
        <v>0</v>
      </c>
      <c r="F418" s="156">
        <f t="shared" si="52"/>
        <v>0</v>
      </c>
      <c r="G418" s="156">
        <f t="shared" si="54"/>
        <v>0</v>
      </c>
      <c r="H418" s="156">
        <f t="shared" si="55"/>
        <v>0</v>
      </c>
      <c r="I418" s="156">
        <f t="shared" si="53"/>
        <v>0</v>
      </c>
      <c r="J418" s="156">
        <f>SUM($H$17:$H418)</f>
        <v>1423.0974802243</v>
      </c>
    </row>
    <row r="419" hidden="1" spans="1:10">
      <c r="A419" s="154">
        <v>402</v>
      </c>
      <c r="B419" s="155">
        <f ca="1" t="shared" si="50"/>
        <v>70738</v>
      </c>
      <c r="C419" s="156">
        <f t="shared" si="49"/>
        <v>0</v>
      </c>
      <c r="D419" s="156">
        <f t="shared" si="56"/>
        <v>3570.51624670405</v>
      </c>
      <c r="E419" s="156">
        <f t="shared" si="51"/>
        <v>0</v>
      </c>
      <c r="F419" s="156">
        <f t="shared" si="52"/>
        <v>0</v>
      </c>
      <c r="G419" s="156">
        <f t="shared" si="54"/>
        <v>0</v>
      </c>
      <c r="H419" s="156">
        <f t="shared" si="55"/>
        <v>0</v>
      </c>
      <c r="I419" s="156">
        <f t="shared" si="53"/>
        <v>0</v>
      </c>
      <c r="J419" s="156">
        <f>SUM($H$17:$H419)</f>
        <v>1423.0974802243</v>
      </c>
    </row>
    <row r="420" hidden="1" spans="1:10">
      <c r="A420" s="154">
        <v>403</v>
      </c>
      <c r="B420" s="155">
        <f ca="1" t="shared" si="50"/>
        <v>70799</v>
      </c>
      <c r="C420" s="156">
        <f t="shared" si="49"/>
        <v>0</v>
      </c>
      <c r="D420" s="156">
        <f t="shared" si="56"/>
        <v>3570.51624670405</v>
      </c>
      <c r="E420" s="156">
        <f t="shared" si="51"/>
        <v>0</v>
      </c>
      <c r="F420" s="156">
        <f t="shared" si="52"/>
        <v>0</v>
      </c>
      <c r="G420" s="156">
        <f t="shared" si="54"/>
        <v>0</v>
      </c>
      <c r="H420" s="156">
        <f t="shared" si="55"/>
        <v>0</v>
      </c>
      <c r="I420" s="156">
        <f t="shared" si="53"/>
        <v>0</v>
      </c>
      <c r="J420" s="156">
        <f>SUM($H$17:$H420)</f>
        <v>1423.0974802243</v>
      </c>
    </row>
    <row r="421" hidden="1" spans="1:10">
      <c r="A421" s="154">
        <v>404</v>
      </c>
      <c r="B421" s="155">
        <f ca="1" t="shared" si="50"/>
        <v>70860</v>
      </c>
      <c r="C421" s="156">
        <f t="shared" si="49"/>
        <v>0</v>
      </c>
      <c r="D421" s="156">
        <f t="shared" si="56"/>
        <v>3570.51624670405</v>
      </c>
      <c r="E421" s="156">
        <f t="shared" si="51"/>
        <v>0</v>
      </c>
      <c r="F421" s="156">
        <f t="shared" si="52"/>
        <v>0</v>
      </c>
      <c r="G421" s="156">
        <f t="shared" si="54"/>
        <v>0</v>
      </c>
      <c r="H421" s="156">
        <f t="shared" si="55"/>
        <v>0</v>
      </c>
      <c r="I421" s="156">
        <f t="shared" si="53"/>
        <v>0</v>
      </c>
      <c r="J421" s="156">
        <f>SUM($H$17:$H421)</f>
        <v>1423.0974802243</v>
      </c>
    </row>
    <row r="422" hidden="1" spans="1:10">
      <c r="A422" s="154">
        <v>405</v>
      </c>
      <c r="B422" s="155">
        <f ca="1" t="shared" si="50"/>
        <v>70919</v>
      </c>
      <c r="C422" s="156">
        <f t="shared" si="49"/>
        <v>0</v>
      </c>
      <c r="D422" s="156">
        <f t="shared" si="56"/>
        <v>3570.51624670405</v>
      </c>
      <c r="E422" s="156">
        <f t="shared" si="51"/>
        <v>0</v>
      </c>
      <c r="F422" s="156">
        <f t="shared" si="52"/>
        <v>0</v>
      </c>
      <c r="G422" s="156">
        <f t="shared" si="54"/>
        <v>0</v>
      </c>
      <c r="H422" s="156">
        <f t="shared" si="55"/>
        <v>0</v>
      </c>
      <c r="I422" s="156">
        <f t="shared" si="53"/>
        <v>0</v>
      </c>
      <c r="J422" s="156">
        <f>SUM($H$17:$H422)</f>
        <v>1423.0974802243</v>
      </c>
    </row>
    <row r="423" hidden="1" spans="1:10">
      <c r="A423" s="154">
        <v>406</v>
      </c>
      <c r="B423" s="155">
        <f ca="1" t="shared" si="50"/>
        <v>70980</v>
      </c>
      <c r="C423" s="156">
        <f t="shared" si="49"/>
        <v>0</v>
      </c>
      <c r="D423" s="156">
        <f t="shared" si="56"/>
        <v>3570.51624670405</v>
      </c>
      <c r="E423" s="156">
        <f t="shared" si="51"/>
        <v>0</v>
      </c>
      <c r="F423" s="156">
        <f t="shared" si="52"/>
        <v>0</v>
      </c>
      <c r="G423" s="156">
        <f t="shared" si="54"/>
        <v>0</v>
      </c>
      <c r="H423" s="156">
        <f t="shared" si="55"/>
        <v>0</v>
      </c>
      <c r="I423" s="156">
        <f t="shared" si="53"/>
        <v>0</v>
      </c>
      <c r="J423" s="156">
        <f>SUM($H$17:$H423)</f>
        <v>1423.0974802243</v>
      </c>
    </row>
    <row r="424" hidden="1" spans="1:10">
      <c r="A424" s="154">
        <v>407</v>
      </c>
      <c r="B424" s="155">
        <f ca="1" t="shared" si="50"/>
        <v>71041</v>
      </c>
      <c r="C424" s="156">
        <f t="shared" si="49"/>
        <v>0</v>
      </c>
      <c r="D424" s="156">
        <f t="shared" si="56"/>
        <v>3570.51624670405</v>
      </c>
      <c r="E424" s="156">
        <f t="shared" si="51"/>
        <v>0</v>
      </c>
      <c r="F424" s="156">
        <f t="shared" si="52"/>
        <v>0</v>
      </c>
      <c r="G424" s="156">
        <f t="shared" si="54"/>
        <v>0</v>
      </c>
      <c r="H424" s="156">
        <f t="shared" si="55"/>
        <v>0</v>
      </c>
      <c r="I424" s="156">
        <f t="shared" si="53"/>
        <v>0</v>
      </c>
      <c r="J424" s="156">
        <f>SUM($H$17:$H424)</f>
        <v>1423.0974802243</v>
      </c>
    </row>
    <row r="425" hidden="1" spans="1:10">
      <c r="A425" s="154">
        <v>408</v>
      </c>
      <c r="B425" s="155">
        <f ca="1" t="shared" si="50"/>
        <v>71103</v>
      </c>
      <c r="C425" s="156">
        <f t="shared" si="49"/>
        <v>0</v>
      </c>
      <c r="D425" s="156">
        <f t="shared" si="56"/>
        <v>3570.51624670405</v>
      </c>
      <c r="E425" s="156">
        <f t="shared" si="51"/>
        <v>0</v>
      </c>
      <c r="F425" s="156">
        <f t="shared" si="52"/>
        <v>0</v>
      </c>
      <c r="G425" s="156">
        <f t="shared" si="54"/>
        <v>0</v>
      </c>
      <c r="H425" s="156">
        <f t="shared" si="55"/>
        <v>0</v>
      </c>
      <c r="I425" s="156">
        <f t="shared" si="53"/>
        <v>0</v>
      </c>
      <c r="J425" s="156">
        <f>SUM($H$17:$H425)</f>
        <v>1423.0974802243</v>
      </c>
    </row>
    <row r="426" hidden="1" spans="1:10">
      <c r="A426" s="154">
        <v>409</v>
      </c>
      <c r="B426" s="155">
        <f ca="1" t="shared" si="50"/>
        <v>71164</v>
      </c>
      <c r="C426" s="156">
        <f t="shared" si="49"/>
        <v>0</v>
      </c>
      <c r="D426" s="156">
        <f t="shared" si="56"/>
        <v>3570.51624670405</v>
      </c>
      <c r="E426" s="156">
        <f t="shared" si="51"/>
        <v>0</v>
      </c>
      <c r="F426" s="156">
        <f t="shared" si="52"/>
        <v>0</v>
      </c>
      <c r="G426" s="156">
        <f t="shared" si="54"/>
        <v>0</v>
      </c>
      <c r="H426" s="156">
        <f t="shared" si="55"/>
        <v>0</v>
      </c>
      <c r="I426" s="156">
        <f t="shared" si="53"/>
        <v>0</v>
      </c>
      <c r="J426" s="156">
        <f>SUM($H$17:$H426)</f>
        <v>1423.0974802243</v>
      </c>
    </row>
    <row r="427" hidden="1" spans="1:10">
      <c r="A427" s="154">
        <v>410</v>
      </c>
      <c r="B427" s="155">
        <f ca="1" t="shared" si="50"/>
        <v>71225</v>
      </c>
      <c r="C427" s="156">
        <f t="shared" si="49"/>
        <v>0</v>
      </c>
      <c r="D427" s="156">
        <f t="shared" si="56"/>
        <v>3570.51624670405</v>
      </c>
      <c r="E427" s="156">
        <f t="shared" si="51"/>
        <v>0</v>
      </c>
      <c r="F427" s="156">
        <f t="shared" si="52"/>
        <v>0</v>
      </c>
      <c r="G427" s="156">
        <f t="shared" si="54"/>
        <v>0</v>
      </c>
      <c r="H427" s="156">
        <f t="shared" si="55"/>
        <v>0</v>
      </c>
      <c r="I427" s="156">
        <f t="shared" si="53"/>
        <v>0</v>
      </c>
      <c r="J427" s="156">
        <f>SUM($H$17:$H427)</f>
        <v>1423.0974802243</v>
      </c>
    </row>
    <row r="428" hidden="1" spans="1:10">
      <c r="A428" s="154">
        <v>411</v>
      </c>
      <c r="B428" s="155">
        <f ca="1" t="shared" si="50"/>
        <v>71284</v>
      </c>
      <c r="C428" s="156">
        <f t="shared" si="49"/>
        <v>0</v>
      </c>
      <c r="D428" s="156">
        <f t="shared" si="56"/>
        <v>3570.51624670405</v>
      </c>
      <c r="E428" s="156">
        <f t="shared" si="51"/>
        <v>0</v>
      </c>
      <c r="F428" s="156">
        <f t="shared" si="52"/>
        <v>0</v>
      </c>
      <c r="G428" s="156">
        <f t="shared" si="54"/>
        <v>0</v>
      </c>
      <c r="H428" s="156">
        <f t="shared" si="55"/>
        <v>0</v>
      </c>
      <c r="I428" s="156">
        <f t="shared" si="53"/>
        <v>0</v>
      </c>
      <c r="J428" s="156">
        <f>SUM($H$17:$H428)</f>
        <v>1423.0974802243</v>
      </c>
    </row>
    <row r="429" hidden="1" spans="1:10">
      <c r="A429" s="154">
        <v>412</v>
      </c>
      <c r="B429" s="155">
        <f ca="1" t="shared" si="50"/>
        <v>71345</v>
      </c>
      <c r="C429" s="156">
        <f t="shared" si="49"/>
        <v>0</v>
      </c>
      <c r="D429" s="156">
        <f t="shared" si="56"/>
        <v>3570.51624670405</v>
      </c>
      <c r="E429" s="156">
        <f t="shared" si="51"/>
        <v>0</v>
      </c>
      <c r="F429" s="156">
        <f t="shared" si="52"/>
        <v>0</v>
      </c>
      <c r="G429" s="156">
        <f t="shared" si="54"/>
        <v>0</v>
      </c>
      <c r="H429" s="156">
        <f t="shared" si="55"/>
        <v>0</v>
      </c>
      <c r="I429" s="156">
        <f t="shared" si="53"/>
        <v>0</v>
      </c>
      <c r="J429" s="156">
        <f>SUM($H$17:$H429)</f>
        <v>1423.0974802243</v>
      </c>
    </row>
    <row r="430" hidden="1" spans="1:10">
      <c r="A430" s="154">
        <v>413</v>
      </c>
      <c r="B430" s="155">
        <f ca="1" t="shared" si="50"/>
        <v>71406</v>
      </c>
      <c r="C430" s="156">
        <f t="shared" si="49"/>
        <v>0</v>
      </c>
      <c r="D430" s="156">
        <f t="shared" si="56"/>
        <v>3570.51624670405</v>
      </c>
      <c r="E430" s="156">
        <f t="shared" si="51"/>
        <v>0</v>
      </c>
      <c r="F430" s="156">
        <f t="shared" si="52"/>
        <v>0</v>
      </c>
      <c r="G430" s="156">
        <f t="shared" si="54"/>
        <v>0</v>
      </c>
      <c r="H430" s="156">
        <f t="shared" si="55"/>
        <v>0</v>
      </c>
      <c r="I430" s="156">
        <f t="shared" si="53"/>
        <v>0</v>
      </c>
      <c r="J430" s="156">
        <f>SUM($H$17:$H430)</f>
        <v>1423.0974802243</v>
      </c>
    </row>
    <row r="431" hidden="1" spans="1:10">
      <c r="A431" s="154">
        <v>414</v>
      </c>
      <c r="B431" s="155">
        <f ca="1" t="shared" si="50"/>
        <v>71468</v>
      </c>
      <c r="C431" s="156">
        <f t="shared" si="49"/>
        <v>0</v>
      </c>
      <c r="D431" s="156">
        <f t="shared" si="56"/>
        <v>3570.51624670405</v>
      </c>
      <c r="E431" s="156">
        <f t="shared" si="51"/>
        <v>0</v>
      </c>
      <c r="F431" s="156">
        <f t="shared" si="52"/>
        <v>0</v>
      </c>
      <c r="G431" s="156">
        <f t="shared" si="54"/>
        <v>0</v>
      </c>
      <c r="H431" s="156">
        <f t="shared" si="55"/>
        <v>0</v>
      </c>
      <c r="I431" s="156">
        <f t="shared" si="53"/>
        <v>0</v>
      </c>
      <c r="J431" s="156">
        <f>SUM($H$17:$H431)</f>
        <v>1423.0974802243</v>
      </c>
    </row>
    <row r="432" hidden="1" spans="1:10">
      <c r="A432" s="154">
        <v>415</v>
      </c>
      <c r="B432" s="155">
        <f ca="1" t="shared" si="50"/>
        <v>71529</v>
      </c>
      <c r="C432" s="156">
        <f t="shared" si="49"/>
        <v>0</v>
      </c>
      <c r="D432" s="156">
        <f t="shared" si="56"/>
        <v>3570.51624670405</v>
      </c>
      <c r="E432" s="156">
        <f t="shared" si="51"/>
        <v>0</v>
      </c>
      <c r="F432" s="156">
        <f t="shared" si="52"/>
        <v>0</v>
      </c>
      <c r="G432" s="156">
        <f t="shared" si="54"/>
        <v>0</v>
      </c>
      <c r="H432" s="156">
        <f t="shared" si="55"/>
        <v>0</v>
      </c>
      <c r="I432" s="156">
        <f t="shared" si="53"/>
        <v>0</v>
      </c>
      <c r="J432" s="156">
        <f>SUM($H$17:$H432)</f>
        <v>1423.0974802243</v>
      </c>
    </row>
    <row r="433" hidden="1" spans="1:10">
      <c r="A433" s="154">
        <v>416</v>
      </c>
      <c r="B433" s="155">
        <f ca="1" t="shared" si="50"/>
        <v>71590</v>
      </c>
      <c r="C433" s="156">
        <f t="shared" si="49"/>
        <v>0</v>
      </c>
      <c r="D433" s="156">
        <f t="shared" si="56"/>
        <v>3570.51624670405</v>
      </c>
      <c r="E433" s="156">
        <f t="shared" si="51"/>
        <v>0</v>
      </c>
      <c r="F433" s="156">
        <f t="shared" si="52"/>
        <v>0</v>
      </c>
      <c r="G433" s="156">
        <f t="shared" si="54"/>
        <v>0</v>
      </c>
      <c r="H433" s="156">
        <f t="shared" si="55"/>
        <v>0</v>
      </c>
      <c r="I433" s="156">
        <f t="shared" si="53"/>
        <v>0</v>
      </c>
      <c r="J433" s="156">
        <f>SUM($H$17:$H433)</f>
        <v>1423.0974802243</v>
      </c>
    </row>
    <row r="434" hidden="1" spans="1:10">
      <c r="A434" s="154">
        <v>417</v>
      </c>
      <c r="B434" s="155">
        <f ca="1" t="shared" si="50"/>
        <v>71650</v>
      </c>
      <c r="C434" s="156">
        <f t="shared" si="49"/>
        <v>0</v>
      </c>
      <c r="D434" s="156">
        <f t="shared" si="56"/>
        <v>3570.51624670405</v>
      </c>
      <c r="E434" s="156">
        <f t="shared" si="51"/>
        <v>0</v>
      </c>
      <c r="F434" s="156">
        <f t="shared" si="52"/>
        <v>0</v>
      </c>
      <c r="G434" s="156">
        <f t="shared" si="54"/>
        <v>0</v>
      </c>
      <c r="H434" s="156">
        <f t="shared" si="55"/>
        <v>0</v>
      </c>
      <c r="I434" s="156">
        <f t="shared" si="53"/>
        <v>0</v>
      </c>
      <c r="J434" s="156">
        <f>SUM($H$17:$H434)</f>
        <v>1423.0974802243</v>
      </c>
    </row>
    <row r="435" hidden="1" spans="1:10">
      <c r="A435" s="154">
        <v>418</v>
      </c>
      <c r="B435" s="155">
        <f ca="1" t="shared" si="50"/>
        <v>71711</v>
      </c>
      <c r="C435" s="156">
        <f t="shared" si="49"/>
        <v>0</v>
      </c>
      <c r="D435" s="156">
        <f t="shared" si="56"/>
        <v>3570.51624670405</v>
      </c>
      <c r="E435" s="156">
        <f t="shared" si="51"/>
        <v>0</v>
      </c>
      <c r="F435" s="156">
        <f t="shared" si="52"/>
        <v>0</v>
      </c>
      <c r="G435" s="156">
        <f t="shared" si="54"/>
        <v>0</v>
      </c>
      <c r="H435" s="156">
        <f t="shared" si="55"/>
        <v>0</v>
      </c>
      <c r="I435" s="156">
        <f t="shared" si="53"/>
        <v>0</v>
      </c>
      <c r="J435" s="156">
        <f>SUM($H$17:$H435)</f>
        <v>1423.0974802243</v>
      </c>
    </row>
    <row r="436" hidden="1" spans="1:10">
      <c r="A436" s="154">
        <v>419</v>
      </c>
      <c r="B436" s="155">
        <f ca="1" t="shared" si="50"/>
        <v>71772</v>
      </c>
      <c r="C436" s="156">
        <f t="shared" si="49"/>
        <v>0</v>
      </c>
      <c r="D436" s="156">
        <f t="shared" si="56"/>
        <v>3570.51624670405</v>
      </c>
      <c r="E436" s="156">
        <f t="shared" si="51"/>
        <v>0</v>
      </c>
      <c r="F436" s="156">
        <f t="shared" si="52"/>
        <v>0</v>
      </c>
      <c r="G436" s="156">
        <f t="shared" si="54"/>
        <v>0</v>
      </c>
      <c r="H436" s="156">
        <f t="shared" si="55"/>
        <v>0</v>
      </c>
      <c r="I436" s="156">
        <f t="shared" si="53"/>
        <v>0</v>
      </c>
      <c r="J436" s="156">
        <f>SUM($H$17:$H436)</f>
        <v>1423.0974802243</v>
      </c>
    </row>
    <row r="437" hidden="1" spans="1:10">
      <c r="A437" s="154">
        <v>420</v>
      </c>
      <c r="B437" s="155">
        <f ca="1" t="shared" si="50"/>
        <v>71834</v>
      </c>
      <c r="C437" s="156">
        <f t="shared" si="49"/>
        <v>0</v>
      </c>
      <c r="D437" s="156">
        <f t="shared" si="56"/>
        <v>3570.51624670405</v>
      </c>
      <c r="E437" s="156">
        <f t="shared" si="51"/>
        <v>0</v>
      </c>
      <c r="F437" s="156">
        <f t="shared" si="52"/>
        <v>0</v>
      </c>
      <c r="G437" s="156">
        <f t="shared" si="54"/>
        <v>0</v>
      </c>
      <c r="H437" s="156">
        <f t="shared" si="55"/>
        <v>0</v>
      </c>
      <c r="I437" s="156">
        <f t="shared" si="53"/>
        <v>0</v>
      </c>
      <c r="J437" s="156">
        <f>SUM($H$17:$H437)</f>
        <v>1423.0974802243</v>
      </c>
    </row>
    <row r="438" hidden="1" spans="1:10">
      <c r="A438" s="154">
        <v>421</v>
      </c>
      <c r="B438" s="155">
        <f ca="1" t="shared" si="50"/>
        <v>71895</v>
      </c>
      <c r="C438" s="156">
        <f t="shared" si="49"/>
        <v>0</v>
      </c>
      <c r="D438" s="156">
        <f t="shared" si="56"/>
        <v>3570.51624670405</v>
      </c>
      <c r="E438" s="156">
        <f t="shared" si="51"/>
        <v>0</v>
      </c>
      <c r="F438" s="156">
        <f t="shared" si="52"/>
        <v>0</v>
      </c>
      <c r="G438" s="156">
        <f t="shared" si="54"/>
        <v>0</v>
      </c>
      <c r="H438" s="156">
        <f t="shared" si="55"/>
        <v>0</v>
      </c>
      <c r="I438" s="156">
        <f t="shared" si="53"/>
        <v>0</v>
      </c>
      <c r="J438" s="156">
        <f>SUM($H$17:$H438)</f>
        <v>1423.0974802243</v>
      </c>
    </row>
    <row r="439" hidden="1" spans="1:10">
      <c r="A439" s="154">
        <v>422</v>
      </c>
      <c r="B439" s="155">
        <f ca="1" t="shared" si="50"/>
        <v>71956</v>
      </c>
      <c r="C439" s="156">
        <f t="shared" si="49"/>
        <v>0</v>
      </c>
      <c r="D439" s="156">
        <f t="shared" si="56"/>
        <v>3570.51624670405</v>
      </c>
      <c r="E439" s="156">
        <f t="shared" si="51"/>
        <v>0</v>
      </c>
      <c r="F439" s="156">
        <f t="shared" si="52"/>
        <v>0</v>
      </c>
      <c r="G439" s="156">
        <f t="shared" si="54"/>
        <v>0</v>
      </c>
      <c r="H439" s="156">
        <f t="shared" si="55"/>
        <v>0</v>
      </c>
      <c r="I439" s="156">
        <f t="shared" si="53"/>
        <v>0</v>
      </c>
      <c r="J439" s="156">
        <f>SUM($H$17:$H439)</f>
        <v>1423.0974802243</v>
      </c>
    </row>
    <row r="440" hidden="1" spans="1:10">
      <c r="A440" s="154">
        <v>423</v>
      </c>
      <c r="B440" s="155">
        <f ca="1" t="shared" si="50"/>
        <v>72015</v>
      </c>
      <c r="C440" s="156">
        <f t="shared" si="49"/>
        <v>0</v>
      </c>
      <c r="D440" s="156">
        <f t="shared" si="56"/>
        <v>3570.51624670405</v>
      </c>
      <c r="E440" s="156">
        <f t="shared" si="51"/>
        <v>0</v>
      </c>
      <c r="F440" s="156">
        <f t="shared" si="52"/>
        <v>0</v>
      </c>
      <c r="G440" s="156">
        <f t="shared" si="54"/>
        <v>0</v>
      </c>
      <c r="H440" s="156">
        <f t="shared" si="55"/>
        <v>0</v>
      </c>
      <c r="I440" s="156">
        <f t="shared" si="53"/>
        <v>0</v>
      </c>
      <c r="J440" s="156">
        <f>SUM($H$17:$H440)</f>
        <v>1423.0974802243</v>
      </c>
    </row>
    <row r="441" hidden="1" spans="1:10">
      <c r="A441" s="154">
        <v>424</v>
      </c>
      <c r="B441" s="155">
        <f ca="1" t="shared" si="50"/>
        <v>72076</v>
      </c>
      <c r="C441" s="156">
        <f t="shared" ref="C441:C497" si="57">IF(Pay_Num&lt;&gt;"",I440,"")</f>
        <v>0</v>
      </c>
      <c r="D441" s="156">
        <f t="shared" si="56"/>
        <v>3570.51624670405</v>
      </c>
      <c r="E441" s="156">
        <f t="shared" si="51"/>
        <v>0</v>
      </c>
      <c r="F441" s="156">
        <f t="shared" si="52"/>
        <v>0</v>
      </c>
      <c r="G441" s="156">
        <f t="shared" si="54"/>
        <v>0</v>
      </c>
      <c r="H441" s="156">
        <f t="shared" si="55"/>
        <v>0</v>
      </c>
      <c r="I441" s="156">
        <f t="shared" si="53"/>
        <v>0</v>
      </c>
      <c r="J441" s="156">
        <f>SUM($H$17:$H441)</f>
        <v>1423.0974802243</v>
      </c>
    </row>
    <row r="442" hidden="1" spans="1:10">
      <c r="A442" s="154">
        <v>425</v>
      </c>
      <c r="B442" s="155">
        <f ca="1" t="shared" si="50"/>
        <v>72137</v>
      </c>
      <c r="C442" s="156">
        <f t="shared" si="57"/>
        <v>0</v>
      </c>
      <c r="D442" s="156">
        <f t="shared" si="56"/>
        <v>3570.51624670405</v>
      </c>
      <c r="E442" s="156">
        <f t="shared" si="51"/>
        <v>0</v>
      </c>
      <c r="F442" s="156">
        <f t="shared" si="52"/>
        <v>0</v>
      </c>
      <c r="G442" s="156">
        <f t="shared" si="54"/>
        <v>0</v>
      </c>
      <c r="H442" s="156">
        <f t="shared" si="55"/>
        <v>0</v>
      </c>
      <c r="I442" s="156">
        <f t="shared" si="53"/>
        <v>0</v>
      </c>
      <c r="J442" s="156">
        <f>SUM($H$17:$H442)</f>
        <v>1423.0974802243</v>
      </c>
    </row>
    <row r="443" hidden="1" spans="1:10">
      <c r="A443" s="154">
        <v>426</v>
      </c>
      <c r="B443" s="155">
        <f ca="1" t="shared" si="50"/>
        <v>72199</v>
      </c>
      <c r="C443" s="156">
        <f t="shared" si="57"/>
        <v>0</v>
      </c>
      <c r="D443" s="156">
        <f t="shared" si="56"/>
        <v>3570.51624670405</v>
      </c>
      <c r="E443" s="156">
        <f t="shared" si="51"/>
        <v>0</v>
      </c>
      <c r="F443" s="156">
        <f t="shared" si="52"/>
        <v>0</v>
      </c>
      <c r="G443" s="156">
        <f t="shared" si="54"/>
        <v>0</v>
      </c>
      <c r="H443" s="156">
        <f t="shared" si="55"/>
        <v>0</v>
      </c>
      <c r="I443" s="156">
        <f t="shared" si="53"/>
        <v>0</v>
      </c>
      <c r="J443" s="156">
        <f>SUM($H$17:$H443)</f>
        <v>1423.0974802243</v>
      </c>
    </row>
    <row r="444" hidden="1" spans="1:10">
      <c r="A444" s="154">
        <v>427</v>
      </c>
      <c r="B444" s="155">
        <f ca="1" t="shared" si="50"/>
        <v>72260</v>
      </c>
      <c r="C444" s="156">
        <f t="shared" si="57"/>
        <v>0</v>
      </c>
      <c r="D444" s="156">
        <f t="shared" si="56"/>
        <v>3570.51624670405</v>
      </c>
      <c r="E444" s="156">
        <f t="shared" si="51"/>
        <v>0</v>
      </c>
      <c r="F444" s="156">
        <f t="shared" si="52"/>
        <v>0</v>
      </c>
      <c r="G444" s="156">
        <f t="shared" si="54"/>
        <v>0</v>
      </c>
      <c r="H444" s="156">
        <f t="shared" si="55"/>
        <v>0</v>
      </c>
      <c r="I444" s="156">
        <f t="shared" si="53"/>
        <v>0</v>
      </c>
      <c r="J444" s="156">
        <f>SUM($H$17:$H444)</f>
        <v>1423.0974802243</v>
      </c>
    </row>
    <row r="445" hidden="1" spans="1:10">
      <c r="A445" s="154">
        <v>428</v>
      </c>
      <c r="B445" s="155">
        <f ca="1" t="shared" si="50"/>
        <v>72321</v>
      </c>
      <c r="C445" s="156">
        <f t="shared" si="57"/>
        <v>0</v>
      </c>
      <c r="D445" s="156">
        <f t="shared" si="56"/>
        <v>3570.51624670405</v>
      </c>
      <c r="E445" s="156">
        <f t="shared" si="51"/>
        <v>0</v>
      </c>
      <c r="F445" s="156">
        <f t="shared" si="52"/>
        <v>0</v>
      </c>
      <c r="G445" s="156">
        <f t="shared" si="54"/>
        <v>0</v>
      </c>
      <c r="H445" s="156">
        <f t="shared" si="55"/>
        <v>0</v>
      </c>
      <c r="I445" s="156">
        <f t="shared" si="53"/>
        <v>0</v>
      </c>
      <c r="J445" s="156">
        <f>SUM($H$17:$H445)</f>
        <v>1423.0974802243</v>
      </c>
    </row>
    <row r="446" hidden="1" spans="1:10">
      <c r="A446" s="154">
        <v>429</v>
      </c>
      <c r="B446" s="155">
        <f ca="1" t="shared" si="50"/>
        <v>72380</v>
      </c>
      <c r="C446" s="156">
        <f t="shared" si="57"/>
        <v>0</v>
      </c>
      <c r="D446" s="156">
        <f t="shared" si="56"/>
        <v>3570.51624670405</v>
      </c>
      <c r="E446" s="156">
        <f t="shared" si="51"/>
        <v>0</v>
      </c>
      <c r="F446" s="156">
        <f t="shared" si="52"/>
        <v>0</v>
      </c>
      <c r="G446" s="156">
        <f t="shared" si="54"/>
        <v>0</v>
      </c>
      <c r="H446" s="156">
        <f t="shared" si="55"/>
        <v>0</v>
      </c>
      <c r="I446" s="156">
        <f t="shared" si="53"/>
        <v>0</v>
      </c>
      <c r="J446" s="156">
        <f>SUM($H$17:$H446)</f>
        <v>1423.0974802243</v>
      </c>
    </row>
    <row r="447" hidden="1" spans="1:10">
      <c r="A447" s="154">
        <v>430</v>
      </c>
      <c r="B447" s="155">
        <f ca="1" t="shared" si="50"/>
        <v>72441</v>
      </c>
      <c r="C447" s="156">
        <f t="shared" si="57"/>
        <v>0</v>
      </c>
      <c r="D447" s="156">
        <f t="shared" si="56"/>
        <v>3570.51624670405</v>
      </c>
      <c r="E447" s="156">
        <f t="shared" si="51"/>
        <v>0</v>
      </c>
      <c r="F447" s="156">
        <f t="shared" si="52"/>
        <v>0</v>
      </c>
      <c r="G447" s="156">
        <f t="shared" si="54"/>
        <v>0</v>
      </c>
      <c r="H447" s="156">
        <f t="shared" si="55"/>
        <v>0</v>
      </c>
      <c r="I447" s="156">
        <f t="shared" si="53"/>
        <v>0</v>
      </c>
      <c r="J447" s="156">
        <f>SUM($H$17:$H447)</f>
        <v>1423.0974802243</v>
      </c>
    </row>
    <row r="448" hidden="1" spans="1:10">
      <c r="A448" s="154">
        <v>431</v>
      </c>
      <c r="B448" s="155">
        <f ca="1" t="shared" si="50"/>
        <v>72502</v>
      </c>
      <c r="C448" s="156">
        <f t="shared" si="57"/>
        <v>0</v>
      </c>
      <c r="D448" s="156">
        <f t="shared" si="56"/>
        <v>3570.51624670405</v>
      </c>
      <c r="E448" s="156">
        <f t="shared" si="51"/>
        <v>0</v>
      </c>
      <c r="F448" s="156">
        <f t="shared" si="52"/>
        <v>0</v>
      </c>
      <c r="G448" s="156">
        <f t="shared" si="54"/>
        <v>0</v>
      </c>
      <c r="H448" s="156">
        <f t="shared" si="55"/>
        <v>0</v>
      </c>
      <c r="I448" s="156">
        <f t="shared" si="53"/>
        <v>0</v>
      </c>
      <c r="J448" s="156">
        <f>SUM($H$17:$H448)</f>
        <v>1423.0974802243</v>
      </c>
    </row>
    <row r="449" hidden="1" spans="1:10">
      <c r="A449" s="154">
        <v>432</v>
      </c>
      <c r="B449" s="155">
        <f ca="1" t="shared" si="50"/>
        <v>72564</v>
      </c>
      <c r="C449" s="156">
        <f t="shared" si="57"/>
        <v>0</v>
      </c>
      <c r="D449" s="156">
        <f t="shared" si="56"/>
        <v>3570.51624670405</v>
      </c>
      <c r="E449" s="156">
        <f t="shared" si="51"/>
        <v>0</v>
      </c>
      <c r="F449" s="156">
        <f t="shared" si="52"/>
        <v>0</v>
      </c>
      <c r="G449" s="156">
        <f t="shared" si="54"/>
        <v>0</v>
      </c>
      <c r="H449" s="156">
        <f t="shared" si="55"/>
        <v>0</v>
      </c>
      <c r="I449" s="156">
        <f t="shared" si="53"/>
        <v>0</v>
      </c>
      <c r="J449" s="156">
        <f>SUM($H$17:$H449)</f>
        <v>1423.0974802243</v>
      </c>
    </row>
    <row r="450" hidden="1" spans="1:10">
      <c r="A450" s="154">
        <v>433</v>
      </c>
      <c r="B450" s="155">
        <f ca="1" t="shared" si="50"/>
        <v>72625</v>
      </c>
      <c r="C450" s="156">
        <f t="shared" si="57"/>
        <v>0</v>
      </c>
      <c r="D450" s="156">
        <f t="shared" si="56"/>
        <v>3570.51624670405</v>
      </c>
      <c r="E450" s="156">
        <f t="shared" si="51"/>
        <v>0</v>
      </c>
      <c r="F450" s="156">
        <f t="shared" si="52"/>
        <v>0</v>
      </c>
      <c r="G450" s="156">
        <f t="shared" si="54"/>
        <v>0</v>
      </c>
      <c r="H450" s="156">
        <f t="shared" si="55"/>
        <v>0</v>
      </c>
      <c r="I450" s="156">
        <f t="shared" si="53"/>
        <v>0</v>
      </c>
      <c r="J450" s="156">
        <f>SUM($H$17:$H450)</f>
        <v>1423.0974802243</v>
      </c>
    </row>
    <row r="451" hidden="1" spans="1:10">
      <c r="A451" s="154">
        <v>434</v>
      </c>
      <c r="B451" s="155">
        <f ca="1" t="shared" si="50"/>
        <v>72686</v>
      </c>
      <c r="C451" s="156">
        <f t="shared" si="57"/>
        <v>0</v>
      </c>
      <c r="D451" s="156">
        <f t="shared" si="56"/>
        <v>3570.51624670405</v>
      </c>
      <c r="E451" s="156">
        <f t="shared" si="51"/>
        <v>0</v>
      </c>
      <c r="F451" s="156">
        <f t="shared" si="52"/>
        <v>0</v>
      </c>
      <c r="G451" s="156">
        <f t="shared" si="54"/>
        <v>0</v>
      </c>
      <c r="H451" s="156">
        <f t="shared" si="55"/>
        <v>0</v>
      </c>
      <c r="I451" s="156">
        <f t="shared" si="53"/>
        <v>0</v>
      </c>
      <c r="J451" s="156">
        <f>SUM($H$17:$H451)</f>
        <v>1423.0974802243</v>
      </c>
    </row>
    <row r="452" hidden="1" spans="1:10">
      <c r="A452" s="154">
        <v>435</v>
      </c>
      <c r="B452" s="155">
        <f ca="1" t="shared" si="50"/>
        <v>72745</v>
      </c>
      <c r="C452" s="156">
        <f t="shared" si="57"/>
        <v>0</v>
      </c>
      <c r="D452" s="156">
        <f t="shared" si="56"/>
        <v>3570.51624670405</v>
      </c>
      <c r="E452" s="156">
        <f t="shared" si="51"/>
        <v>0</v>
      </c>
      <c r="F452" s="156">
        <f t="shared" si="52"/>
        <v>0</v>
      </c>
      <c r="G452" s="156">
        <f t="shared" si="54"/>
        <v>0</v>
      </c>
      <c r="H452" s="156">
        <f t="shared" si="55"/>
        <v>0</v>
      </c>
      <c r="I452" s="156">
        <f t="shared" si="53"/>
        <v>0</v>
      </c>
      <c r="J452" s="156">
        <f>SUM($H$17:$H452)</f>
        <v>1423.0974802243</v>
      </c>
    </row>
    <row r="453" hidden="1" spans="1:10">
      <c r="A453" s="154">
        <v>436</v>
      </c>
      <c r="B453" s="155">
        <f ca="1" t="shared" si="50"/>
        <v>72806</v>
      </c>
      <c r="C453" s="156">
        <f t="shared" si="57"/>
        <v>0</v>
      </c>
      <c r="D453" s="156">
        <f t="shared" si="56"/>
        <v>3570.51624670405</v>
      </c>
      <c r="E453" s="156">
        <f t="shared" si="51"/>
        <v>0</v>
      </c>
      <c r="F453" s="156">
        <f t="shared" si="52"/>
        <v>0</v>
      </c>
      <c r="G453" s="156">
        <f t="shared" si="54"/>
        <v>0</v>
      </c>
      <c r="H453" s="156">
        <f t="shared" si="55"/>
        <v>0</v>
      </c>
      <c r="I453" s="156">
        <f t="shared" si="53"/>
        <v>0</v>
      </c>
      <c r="J453" s="156">
        <f>SUM($H$17:$H453)</f>
        <v>1423.0974802243</v>
      </c>
    </row>
    <row r="454" hidden="1" spans="1:10">
      <c r="A454" s="154">
        <v>437</v>
      </c>
      <c r="B454" s="155">
        <f ca="1" t="shared" si="50"/>
        <v>72867</v>
      </c>
      <c r="C454" s="156">
        <f t="shared" si="57"/>
        <v>0</v>
      </c>
      <c r="D454" s="156">
        <f t="shared" si="56"/>
        <v>3570.51624670405</v>
      </c>
      <c r="E454" s="156">
        <f t="shared" si="51"/>
        <v>0</v>
      </c>
      <c r="F454" s="156">
        <f t="shared" si="52"/>
        <v>0</v>
      </c>
      <c r="G454" s="156">
        <f t="shared" si="54"/>
        <v>0</v>
      </c>
      <c r="H454" s="156">
        <f t="shared" si="55"/>
        <v>0</v>
      </c>
      <c r="I454" s="156">
        <f t="shared" si="53"/>
        <v>0</v>
      </c>
      <c r="J454" s="156">
        <f>SUM($H$17:$H454)</f>
        <v>1423.0974802243</v>
      </c>
    </row>
    <row r="455" hidden="1" spans="1:10">
      <c r="A455" s="154">
        <v>438</v>
      </c>
      <c r="B455" s="155">
        <f ca="1" t="shared" si="50"/>
        <v>72929</v>
      </c>
      <c r="C455" s="156">
        <f t="shared" si="57"/>
        <v>0</v>
      </c>
      <c r="D455" s="156">
        <f t="shared" si="56"/>
        <v>3570.51624670405</v>
      </c>
      <c r="E455" s="156">
        <f t="shared" si="51"/>
        <v>0</v>
      </c>
      <c r="F455" s="156">
        <f t="shared" si="52"/>
        <v>0</v>
      </c>
      <c r="G455" s="156">
        <f t="shared" si="54"/>
        <v>0</v>
      </c>
      <c r="H455" s="156">
        <f t="shared" si="55"/>
        <v>0</v>
      </c>
      <c r="I455" s="156">
        <f t="shared" si="53"/>
        <v>0</v>
      </c>
      <c r="J455" s="156">
        <f>SUM($H$17:$H455)</f>
        <v>1423.0974802243</v>
      </c>
    </row>
    <row r="456" hidden="1" spans="1:10">
      <c r="A456" s="154">
        <v>439</v>
      </c>
      <c r="B456" s="155">
        <f ca="1" t="shared" si="50"/>
        <v>72990</v>
      </c>
      <c r="C456" s="156">
        <f t="shared" si="57"/>
        <v>0</v>
      </c>
      <c r="D456" s="156">
        <f t="shared" si="56"/>
        <v>3570.51624670405</v>
      </c>
      <c r="E456" s="156">
        <f t="shared" si="51"/>
        <v>0</v>
      </c>
      <c r="F456" s="156">
        <f t="shared" si="52"/>
        <v>0</v>
      </c>
      <c r="G456" s="156">
        <f t="shared" si="54"/>
        <v>0</v>
      </c>
      <c r="H456" s="156">
        <f t="shared" si="55"/>
        <v>0</v>
      </c>
      <c r="I456" s="156">
        <f t="shared" si="53"/>
        <v>0</v>
      </c>
      <c r="J456" s="156">
        <f>SUM($H$17:$H456)</f>
        <v>1423.0974802243</v>
      </c>
    </row>
    <row r="457" hidden="1" spans="1:10">
      <c r="A457" s="154">
        <v>440</v>
      </c>
      <c r="B457" s="155">
        <f ca="1" t="shared" si="50"/>
        <v>73051</v>
      </c>
      <c r="C457" s="156">
        <f t="shared" si="57"/>
        <v>0</v>
      </c>
      <c r="D457" s="156">
        <f t="shared" si="56"/>
        <v>3570.51624670405</v>
      </c>
      <c r="E457" s="156">
        <f t="shared" si="51"/>
        <v>0</v>
      </c>
      <c r="F457" s="156">
        <f t="shared" si="52"/>
        <v>0</v>
      </c>
      <c r="G457" s="156">
        <f t="shared" si="54"/>
        <v>0</v>
      </c>
      <c r="H457" s="156">
        <f t="shared" si="55"/>
        <v>0</v>
      </c>
      <c r="I457" s="156">
        <f t="shared" si="53"/>
        <v>0</v>
      </c>
      <c r="J457" s="156">
        <f>SUM($H$17:$H457)</f>
        <v>1423.0974802243</v>
      </c>
    </row>
    <row r="458" hidden="1" spans="1:10">
      <c r="A458" s="154">
        <v>441</v>
      </c>
      <c r="B458" s="155">
        <f ca="1" t="shared" si="50"/>
        <v>73110</v>
      </c>
      <c r="C458" s="156">
        <f t="shared" si="57"/>
        <v>0</v>
      </c>
      <c r="D458" s="156">
        <f t="shared" si="56"/>
        <v>3570.51624670405</v>
      </c>
      <c r="E458" s="156">
        <f t="shared" si="51"/>
        <v>0</v>
      </c>
      <c r="F458" s="156">
        <f t="shared" si="52"/>
        <v>0</v>
      </c>
      <c r="G458" s="156">
        <f t="shared" si="54"/>
        <v>0</v>
      </c>
      <c r="H458" s="156">
        <f t="shared" si="55"/>
        <v>0</v>
      </c>
      <c r="I458" s="156">
        <f t="shared" si="53"/>
        <v>0</v>
      </c>
      <c r="J458" s="156">
        <f>SUM($H$17:$H458)</f>
        <v>1423.0974802243</v>
      </c>
    </row>
    <row r="459" hidden="1" spans="1:10">
      <c r="A459" s="154">
        <v>442</v>
      </c>
      <c r="B459" s="155">
        <f ca="1" t="shared" si="50"/>
        <v>73171</v>
      </c>
      <c r="C459" s="156">
        <f t="shared" si="57"/>
        <v>0</v>
      </c>
      <c r="D459" s="156">
        <f t="shared" si="56"/>
        <v>3570.51624670405</v>
      </c>
      <c r="E459" s="156">
        <f t="shared" si="51"/>
        <v>0</v>
      </c>
      <c r="F459" s="156">
        <f t="shared" si="52"/>
        <v>0</v>
      </c>
      <c r="G459" s="156">
        <f t="shared" si="54"/>
        <v>0</v>
      </c>
      <c r="H459" s="156">
        <f t="shared" si="55"/>
        <v>0</v>
      </c>
      <c r="I459" s="156">
        <f t="shared" si="53"/>
        <v>0</v>
      </c>
      <c r="J459" s="156">
        <f>SUM($H$17:$H459)</f>
        <v>1423.0974802243</v>
      </c>
    </row>
    <row r="460" hidden="1" spans="1:10">
      <c r="A460" s="154">
        <v>443</v>
      </c>
      <c r="B460" s="155">
        <f ca="1" t="shared" si="50"/>
        <v>73232</v>
      </c>
      <c r="C460" s="156">
        <f t="shared" si="57"/>
        <v>0</v>
      </c>
      <c r="D460" s="156">
        <f t="shared" si="56"/>
        <v>3570.51624670405</v>
      </c>
      <c r="E460" s="156">
        <f t="shared" si="51"/>
        <v>0</v>
      </c>
      <c r="F460" s="156">
        <f t="shared" si="52"/>
        <v>0</v>
      </c>
      <c r="G460" s="156">
        <f t="shared" si="54"/>
        <v>0</v>
      </c>
      <c r="H460" s="156">
        <f t="shared" si="55"/>
        <v>0</v>
      </c>
      <c r="I460" s="156">
        <f t="shared" si="53"/>
        <v>0</v>
      </c>
      <c r="J460" s="156">
        <f>SUM($H$17:$H460)</f>
        <v>1423.0974802243</v>
      </c>
    </row>
    <row r="461" hidden="1" spans="1:10">
      <c r="A461" s="154">
        <v>444</v>
      </c>
      <c r="B461" s="155">
        <f ca="1" t="shared" si="50"/>
        <v>73294</v>
      </c>
      <c r="C461" s="156">
        <f t="shared" si="57"/>
        <v>0</v>
      </c>
      <c r="D461" s="156">
        <f t="shared" si="56"/>
        <v>3570.51624670405</v>
      </c>
      <c r="E461" s="156">
        <f t="shared" si="51"/>
        <v>0</v>
      </c>
      <c r="F461" s="156">
        <f t="shared" si="52"/>
        <v>0</v>
      </c>
      <c r="G461" s="156">
        <f t="shared" si="54"/>
        <v>0</v>
      </c>
      <c r="H461" s="156">
        <f t="shared" si="55"/>
        <v>0</v>
      </c>
      <c r="I461" s="156">
        <f t="shared" si="53"/>
        <v>0</v>
      </c>
      <c r="J461" s="156">
        <f>SUM($H$17:$H461)</f>
        <v>1423.0974802243</v>
      </c>
    </row>
    <row r="462" hidden="1" spans="1:10">
      <c r="A462" s="154">
        <v>445</v>
      </c>
      <c r="B462" s="155">
        <f ca="1" t="shared" si="50"/>
        <v>73355</v>
      </c>
      <c r="C462" s="156">
        <f t="shared" si="57"/>
        <v>0</v>
      </c>
      <c r="D462" s="156">
        <f t="shared" si="56"/>
        <v>3570.51624670405</v>
      </c>
      <c r="E462" s="156">
        <f t="shared" si="51"/>
        <v>0</v>
      </c>
      <c r="F462" s="156">
        <f t="shared" si="52"/>
        <v>0</v>
      </c>
      <c r="G462" s="156">
        <f t="shared" si="54"/>
        <v>0</v>
      </c>
      <c r="H462" s="156">
        <f t="shared" si="55"/>
        <v>0</v>
      </c>
      <c r="I462" s="156">
        <f t="shared" si="53"/>
        <v>0</v>
      </c>
      <c r="J462" s="156">
        <f>SUM($H$17:$H462)</f>
        <v>1423.0974802243</v>
      </c>
    </row>
    <row r="463" hidden="1" spans="1:10">
      <c r="A463" s="154">
        <v>446</v>
      </c>
      <c r="B463" s="155">
        <f ca="1" t="shared" si="50"/>
        <v>73416</v>
      </c>
      <c r="C463" s="156">
        <f t="shared" si="57"/>
        <v>0</v>
      </c>
      <c r="D463" s="156">
        <f t="shared" si="56"/>
        <v>3570.51624670405</v>
      </c>
      <c r="E463" s="156">
        <f t="shared" si="51"/>
        <v>0</v>
      </c>
      <c r="F463" s="156">
        <f t="shared" si="52"/>
        <v>0</v>
      </c>
      <c r="G463" s="156">
        <f t="shared" si="54"/>
        <v>0</v>
      </c>
      <c r="H463" s="156">
        <f t="shared" si="55"/>
        <v>0</v>
      </c>
      <c r="I463" s="156">
        <f t="shared" si="53"/>
        <v>0</v>
      </c>
      <c r="J463" s="156">
        <f>SUM($H$17:$H463)</f>
        <v>1423.0974802243</v>
      </c>
    </row>
    <row r="464" hidden="1" spans="1:10">
      <c r="A464" s="154">
        <v>447</v>
      </c>
      <c r="B464" s="155">
        <f ca="1" t="shared" si="50"/>
        <v>73475</v>
      </c>
      <c r="C464" s="156">
        <f t="shared" si="57"/>
        <v>0</v>
      </c>
      <c r="D464" s="156">
        <f t="shared" si="56"/>
        <v>3570.51624670405</v>
      </c>
      <c r="E464" s="156">
        <f t="shared" si="51"/>
        <v>0</v>
      </c>
      <c r="F464" s="156">
        <f t="shared" si="52"/>
        <v>0</v>
      </c>
      <c r="G464" s="156">
        <f t="shared" si="54"/>
        <v>0</v>
      </c>
      <c r="H464" s="156">
        <f t="shared" si="55"/>
        <v>0</v>
      </c>
      <c r="I464" s="156">
        <f t="shared" si="53"/>
        <v>0</v>
      </c>
      <c r="J464" s="156">
        <f>SUM($H$17:$H464)</f>
        <v>1423.0974802243</v>
      </c>
    </row>
    <row r="465" hidden="1" spans="1:10">
      <c r="A465" s="154">
        <v>448</v>
      </c>
      <c r="B465" s="155">
        <f ca="1" t="shared" si="50"/>
        <v>73536</v>
      </c>
      <c r="C465" s="156">
        <f t="shared" si="57"/>
        <v>0</v>
      </c>
      <c r="D465" s="156">
        <f t="shared" si="56"/>
        <v>3570.51624670405</v>
      </c>
      <c r="E465" s="156">
        <f t="shared" si="51"/>
        <v>0</v>
      </c>
      <c r="F465" s="156">
        <f t="shared" si="52"/>
        <v>0</v>
      </c>
      <c r="G465" s="156">
        <f t="shared" si="54"/>
        <v>0</v>
      </c>
      <c r="H465" s="156">
        <f t="shared" si="55"/>
        <v>0</v>
      </c>
      <c r="I465" s="156">
        <f t="shared" si="53"/>
        <v>0</v>
      </c>
      <c r="J465" s="156">
        <f>SUM($H$17:$H465)</f>
        <v>1423.0974802243</v>
      </c>
    </row>
    <row r="466" hidden="1" spans="1:10">
      <c r="A466" s="154">
        <v>449</v>
      </c>
      <c r="B466" s="155">
        <f ca="1" t="shared" ref="B466:B497" si="58">IF(Pay_Num&lt;&gt;"",DATE(YEAR(Loan_Start),MONTH(Loan_Start)+(Pay_Num)*12/Num_Pmt_Per_Year,DAY(Loan_Start)),"")</f>
        <v>73597</v>
      </c>
      <c r="C466" s="156">
        <f t="shared" si="57"/>
        <v>0</v>
      </c>
      <c r="D466" s="156">
        <f t="shared" si="56"/>
        <v>3570.51624670405</v>
      </c>
      <c r="E466" s="156">
        <f t="shared" ref="E466:E497" si="59">IF(AND(Pay_Num&lt;&gt;"",Sched_Pay+Scheduled_Extra_Payments&lt;Beg_Bal),Scheduled_Extra_Payments,IF(AND(Pay_Num&lt;&gt;"",Beg_Bal-Sched_Pay&gt;0),Beg_Bal-Sched_Pay,IF(Pay_Num&lt;&gt;"",0,"")))</f>
        <v>0</v>
      </c>
      <c r="F466" s="156">
        <f t="shared" ref="F466:F497" si="60">IF(AND(Pay_Num&lt;&gt;"",Sched_Pay+Extra_Pay&lt;Beg_Bal),Sched_Pay+Extra_Pay,IF(Pay_Num&lt;&gt;"",Beg_Bal,""))</f>
        <v>0</v>
      </c>
      <c r="G466" s="156">
        <f t="shared" si="54"/>
        <v>0</v>
      </c>
      <c r="H466" s="156">
        <f t="shared" si="55"/>
        <v>0</v>
      </c>
      <c r="I466" s="156">
        <f t="shared" ref="I466:I497" si="61">IF(AND(Pay_Num&lt;&gt;"",Sched_Pay+Extra_Pay&lt;Beg_Bal),Beg_Bal-Princ,IF(Pay_Num&lt;&gt;"",0,""))</f>
        <v>0</v>
      </c>
      <c r="J466" s="156">
        <f>SUM($H$17:$H466)</f>
        <v>1423.0974802243</v>
      </c>
    </row>
    <row r="467" hidden="1" spans="1:10">
      <c r="A467" s="154">
        <v>450</v>
      </c>
      <c r="B467" s="155">
        <f ca="1" t="shared" si="58"/>
        <v>73659</v>
      </c>
      <c r="C467" s="156">
        <f t="shared" si="57"/>
        <v>0</v>
      </c>
      <c r="D467" s="156">
        <f t="shared" si="56"/>
        <v>3570.51624670405</v>
      </c>
      <c r="E467" s="156">
        <f t="shared" si="59"/>
        <v>0</v>
      </c>
      <c r="F467" s="156">
        <f t="shared" si="60"/>
        <v>0</v>
      </c>
      <c r="G467" s="156">
        <f t="shared" ref="G467:G497" si="62">IF(Pay_Num&lt;&gt;"",Total_Pay-Int,"")</f>
        <v>0</v>
      </c>
      <c r="H467" s="156">
        <f t="shared" ref="H467:H497" si="63">IF(Pay_Num&lt;&gt;"",Beg_Bal*Interest_Rate/Num_Pmt_Per_Year,"")</f>
        <v>0</v>
      </c>
      <c r="I467" s="156">
        <f t="shared" si="61"/>
        <v>0</v>
      </c>
      <c r="J467" s="156">
        <f>SUM($H$17:$H467)</f>
        <v>1423.0974802243</v>
      </c>
    </row>
    <row r="468" hidden="1" spans="1:10">
      <c r="A468" s="154">
        <v>451</v>
      </c>
      <c r="B468" s="155">
        <f ca="1" t="shared" si="58"/>
        <v>73720</v>
      </c>
      <c r="C468" s="156">
        <f t="shared" si="57"/>
        <v>0</v>
      </c>
      <c r="D468" s="156">
        <f t="shared" ref="D468:D497" si="64">IF(Pay_Num&lt;&gt;"",Scheduled_Monthly_Payment,"")</f>
        <v>3570.51624670405</v>
      </c>
      <c r="E468" s="156">
        <f t="shared" si="59"/>
        <v>0</v>
      </c>
      <c r="F468" s="156">
        <f t="shared" si="60"/>
        <v>0</v>
      </c>
      <c r="G468" s="156">
        <f t="shared" si="62"/>
        <v>0</v>
      </c>
      <c r="H468" s="156">
        <f t="shared" si="63"/>
        <v>0</v>
      </c>
      <c r="I468" s="156">
        <f t="shared" si="61"/>
        <v>0</v>
      </c>
      <c r="J468" s="156">
        <f>SUM($H$17:$H468)</f>
        <v>1423.0974802243</v>
      </c>
    </row>
    <row r="469" hidden="1" spans="1:10">
      <c r="A469" s="154">
        <v>452</v>
      </c>
      <c r="B469" s="155">
        <f ca="1" t="shared" si="58"/>
        <v>73781</v>
      </c>
      <c r="C469" s="156">
        <f t="shared" si="57"/>
        <v>0</v>
      </c>
      <c r="D469" s="156">
        <f t="shared" si="64"/>
        <v>3570.51624670405</v>
      </c>
      <c r="E469" s="156">
        <f t="shared" si="59"/>
        <v>0</v>
      </c>
      <c r="F469" s="156">
        <f t="shared" si="60"/>
        <v>0</v>
      </c>
      <c r="G469" s="156">
        <f t="shared" si="62"/>
        <v>0</v>
      </c>
      <c r="H469" s="156">
        <f t="shared" si="63"/>
        <v>0</v>
      </c>
      <c r="I469" s="156">
        <f t="shared" si="61"/>
        <v>0</v>
      </c>
      <c r="J469" s="156">
        <f>SUM($H$17:$H469)</f>
        <v>1423.0974802243</v>
      </c>
    </row>
    <row r="470" hidden="1" spans="1:10">
      <c r="A470" s="154">
        <v>453</v>
      </c>
      <c r="B470" s="155">
        <f ca="1" t="shared" si="58"/>
        <v>73840</v>
      </c>
      <c r="C470" s="156">
        <f t="shared" si="57"/>
        <v>0</v>
      </c>
      <c r="D470" s="156">
        <f t="shared" si="64"/>
        <v>3570.51624670405</v>
      </c>
      <c r="E470" s="156">
        <f t="shared" si="59"/>
        <v>0</v>
      </c>
      <c r="F470" s="156">
        <f t="shared" si="60"/>
        <v>0</v>
      </c>
      <c r="G470" s="156">
        <f t="shared" si="62"/>
        <v>0</v>
      </c>
      <c r="H470" s="156">
        <f t="shared" si="63"/>
        <v>0</v>
      </c>
      <c r="I470" s="156">
        <f t="shared" si="61"/>
        <v>0</v>
      </c>
      <c r="J470" s="156">
        <f>SUM($H$17:$H470)</f>
        <v>1423.0974802243</v>
      </c>
    </row>
    <row r="471" hidden="1" spans="1:10">
      <c r="A471" s="154">
        <v>454</v>
      </c>
      <c r="B471" s="155">
        <f ca="1" t="shared" si="58"/>
        <v>73901</v>
      </c>
      <c r="C471" s="156">
        <f t="shared" si="57"/>
        <v>0</v>
      </c>
      <c r="D471" s="156">
        <f t="shared" si="64"/>
        <v>3570.51624670405</v>
      </c>
      <c r="E471" s="156">
        <f t="shared" si="59"/>
        <v>0</v>
      </c>
      <c r="F471" s="156">
        <f t="shared" si="60"/>
        <v>0</v>
      </c>
      <c r="G471" s="156">
        <f t="shared" si="62"/>
        <v>0</v>
      </c>
      <c r="H471" s="156">
        <f t="shared" si="63"/>
        <v>0</v>
      </c>
      <c r="I471" s="156">
        <f t="shared" si="61"/>
        <v>0</v>
      </c>
      <c r="J471" s="156">
        <f>SUM($H$17:$H471)</f>
        <v>1423.0974802243</v>
      </c>
    </row>
    <row r="472" hidden="1" spans="1:10">
      <c r="A472" s="154">
        <v>455</v>
      </c>
      <c r="B472" s="155">
        <f ca="1" t="shared" si="58"/>
        <v>73962</v>
      </c>
      <c r="C472" s="156">
        <f t="shared" si="57"/>
        <v>0</v>
      </c>
      <c r="D472" s="156">
        <f t="shared" si="64"/>
        <v>3570.51624670405</v>
      </c>
      <c r="E472" s="156">
        <f t="shared" si="59"/>
        <v>0</v>
      </c>
      <c r="F472" s="156">
        <f t="shared" si="60"/>
        <v>0</v>
      </c>
      <c r="G472" s="156">
        <f t="shared" si="62"/>
        <v>0</v>
      </c>
      <c r="H472" s="156">
        <f t="shared" si="63"/>
        <v>0</v>
      </c>
      <c r="I472" s="156">
        <f t="shared" si="61"/>
        <v>0</v>
      </c>
      <c r="J472" s="156">
        <f>SUM($H$17:$H472)</f>
        <v>1423.0974802243</v>
      </c>
    </row>
    <row r="473" hidden="1" spans="1:10">
      <c r="A473" s="154">
        <v>456</v>
      </c>
      <c r="B473" s="155">
        <f ca="1" t="shared" si="58"/>
        <v>74024</v>
      </c>
      <c r="C473" s="156">
        <f t="shared" si="57"/>
        <v>0</v>
      </c>
      <c r="D473" s="156">
        <f t="shared" si="64"/>
        <v>3570.51624670405</v>
      </c>
      <c r="E473" s="156">
        <f t="shared" si="59"/>
        <v>0</v>
      </c>
      <c r="F473" s="156">
        <f t="shared" si="60"/>
        <v>0</v>
      </c>
      <c r="G473" s="156">
        <f t="shared" si="62"/>
        <v>0</v>
      </c>
      <c r="H473" s="156">
        <f t="shared" si="63"/>
        <v>0</v>
      </c>
      <c r="I473" s="156">
        <f t="shared" si="61"/>
        <v>0</v>
      </c>
      <c r="J473" s="156">
        <f>SUM($H$17:$H473)</f>
        <v>1423.0974802243</v>
      </c>
    </row>
    <row r="474" hidden="1" spans="1:10">
      <c r="A474" s="154">
        <v>457</v>
      </c>
      <c r="B474" s="155">
        <f ca="1" t="shared" si="58"/>
        <v>74085</v>
      </c>
      <c r="C474" s="156">
        <f t="shared" si="57"/>
        <v>0</v>
      </c>
      <c r="D474" s="156">
        <f t="shared" si="64"/>
        <v>3570.51624670405</v>
      </c>
      <c r="E474" s="156">
        <f t="shared" si="59"/>
        <v>0</v>
      </c>
      <c r="F474" s="156">
        <f t="shared" si="60"/>
        <v>0</v>
      </c>
      <c r="G474" s="156">
        <f t="shared" si="62"/>
        <v>0</v>
      </c>
      <c r="H474" s="156">
        <f t="shared" si="63"/>
        <v>0</v>
      </c>
      <c r="I474" s="156">
        <f t="shared" si="61"/>
        <v>0</v>
      </c>
      <c r="J474" s="156">
        <f>SUM($H$17:$H474)</f>
        <v>1423.0974802243</v>
      </c>
    </row>
    <row r="475" hidden="1" spans="1:10">
      <c r="A475" s="154">
        <v>458</v>
      </c>
      <c r="B475" s="155">
        <f ca="1" t="shared" si="58"/>
        <v>74146</v>
      </c>
      <c r="C475" s="156">
        <f t="shared" si="57"/>
        <v>0</v>
      </c>
      <c r="D475" s="156">
        <f t="shared" si="64"/>
        <v>3570.51624670405</v>
      </c>
      <c r="E475" s="156">
        <f t="shared" si="59"/>
        <v>0</v>
      </c>
      <c r="F475" s="156">
        <f t="shared" si="60"/>
        <v>0</v>
      </c>
      <c r="G475" s="156">
        <f t="shared" si="62"/>
        <v>0</v>
      </c>
      <c r="H475" s="156">
        <f t="shared" si="63"/>
        <v>0</v>
      </c>
      <c r="I475" s="156">
        <f t="shared" si="61"/>
        <v>0</v>
      </c>
      <c r="J475" s="156">
        <f>SUM($H$17:$H475)</f>
        <v>1423.0974802243</v>
      </c>
    </row>
    <row r="476" hidden="1" spans="1:10">
      <c r="A476" s="154">
        <v>459</v>
      </c>
      <c r="B476" s="155">
        <f ca="1" t="shared" si="58"/>
        <v>74205</v>
      </c>
      <c r="C476" s="156">
        <f t="shared" si="57"/>
        <v>0</v>
      </c>
      <c r="D476" s="156">
        <f t="shared" si="64"/>
        <v>3570.51624670405</v>
      </c>
      <c r="E476" s="156">
        <f t="shared" si="59"/>
        <v>0</v>
      </c>
      <c r="F476" s="156">
        <f t="shared" si="60"/>
        <v>0</v>
      </c>
      <c r="G476" s="156">
        <f t="shared" si="62"/>
        <v>0</v>
      </c>
      <c r="H476" s="156">
        <f t="shared" si="63"/>
        <v>0</v>
      </c>
      <c r="I476" s="156">
        <f t="shared" si="61"/>
        <v>0</v>
      </c>
      <c r="J476" s="156">
        <f>SUM($H$17:$H476)</f>
        <v>1423.0974802243</v>
      </c>
    </row>
    <row r="477" hidden="1" spans="1:10">
      <c r="A477" s="154">
        <v>460</v>
      </c>
      <c r="B477" s="155">
        <f ca="1" t="shared" si="58"/>
        <v>74266</v>
      </c>
      <c r="C477" s="156">
        <f t="shared" si="57"/>
        <v>0</v>
      </c>
      <c r="D477" s="156">
        <f t="shared" si="64"/>
        <v>3570.51624670405</v>
      </c>
      <c r="E477" s="156">
        <f t="shared" si="59"/>
        <v>0</v>
      </c>
      <c r="F477" s="156">
        <f t="shared" si="60"/>
        <v>0</v>
      </c>
      <c r="G477" s="156">
        <f t="shared" si="62"/>
        <v>0</v>
      </c>
      <c r="H477" s="156">
        <f t="shared" si="63"/>
        <v>0</v>
      </c>
      <c r="I477" s="156">
        <f t="shared" si="61"/>
        <v>0</v>
      </c>
      <c r="J477" s="156">
        <f>SUM($H$17:$H477)</f>
        <v>1423.0974802243</v>
      </c>
    </row>
    <row r="478" hidden="1" spans="1:10">
      <c r="A478" s="154">
        <v>461</v>
      </c>
      <c r="B478" s="155">
        <f ca="1" t="shared" si="58"/>
        <v>74327</v>
      </c>
      <c r="C478" s="156">
        <f t="shared" si="57"/>
        <v>0</v>
      </c>
      <c r="D478" s="156">
        <f t="shared" si="64"/>
        <v>3570.51624670405</v>
      </c>
      <c r="E478" s="156">
        <f t="shared" si="59"/>
        <v>0</v>
      </c>
      <c r="F478" s="156">
        <f t="shared" si="60"/>
        <v>0</v>
      </c>
      <c r="G478" s="156">
        <f t="shared" si="62"/>
        <v>0</v>
      </c>
      <c r="H478" s="156">
        <f t="shared" si="63"/>
        <v>0</v>
      </c>
      <c r="I478" s="156">
        <f t="shared" si="61"/>
        <v>0</v>
      </c>
      <c r="J478" s="156">
        <f>SUM($H$17:$H478)</f>
        <v>1423.0974802243</v>
      </c>
    </row>
    <row r="479" hidden="1" spans="1:10">
      <c r="A479" s="154">
        <v>462</v>
      </c>
      <c r="B479" s="155">
        <f ca="1" t="shared" si="58"/>
        <v>74389</v>
      </c>
      <c r="C479" s="156">
        <f t="shared" si="57"/>
        <v>0</v>
      </c>
      <c r="D479" s="156">
        <f t="shared" si="64"/>
        <v>3570.51624670405</v>
      </c>
      <c r="E479" s="156">
        <f t="shared" si="59"/>
        <v>0</v>
      </c>
      <c r="F479" s="156">
        <f t="shared" si="60"/>
        <v>0</v>
      </c>
      <c r="G479" s="156">
        <f t="shared" si="62"/>
        <v>0</v>
      </c>
      <c r="H479" s="156">
        <f t="shared" si="63"/>
        <v>0</v>
      </c>
      <c r="I479" s="156">
        <f t="shared" si="61"/>
        <v>0</v>
      </c>
      <c r="J479" s="156">
        <f>SUM($H$17:$H479)</f>
        <v>1423.0974802243</v>
      </c>
    </row>
    <row r="480" hidden="1" spans="1:10">
      <c r="A480" s="154">
        <v>463</v>
      </c>
      <c r="B480" s="155">
        <f ca="1" t="shared" si="58"/>
        <v>74450</v>
      </c>
      <c r="C480" s="156">
        <f t="shared" si="57"/>
        <v>0</v>
      </c>
      <c r="D480" s="156">
        <f t="shared" si="64"/>
        <v>3570.51624670405</v>
      </c>
      <c r="E480" s="156">
        <f t="shared" si="59"/>
        <v>0</v>
      </c>
      <c r="F480" s="156">
        <f t="shared" si="60"/>
        <v>0</v>
      </c>
      <c r="G480" s="156">
        <f t="shared" si="62"/>
        <v>0</v>
      </c>
      <c r="H480" s="156">
        <f t="shared" si="63"/>
        <v>0</v>
      </c>
      <c r="I480" s="156">
        <f t="shared" si="61"/>
        <v>0</v>
      </c>
      <c r="J480" s="156">
        <f>SUM($H$17:$H480)</f>
        <v>1423.0974802243</v>
      </c>
    </row>
    <row r="481" hidden="1" spans="1:10">
      <c r="A481" s="154">
        <v>464</v>
      </c>
      <c r="B481" s="155">
        <f ca="1" t="shared" si="58"/>
        <v>74511</v>
      </c>
      <c r="C481" s="156">
        <f t="shared" si="57"/>
        <v>0</v>
      </c>
      <c r="D481" s="156">
        <f t="shared" si="64"/>
        <v>3570.51624670405</v>
      </c>
      <c r="E481" s="156">
        <f t="shared" si="59"/>
        <v>0</v>
      </c>
      <c r="F481" s="156">
        <f t="shared" si="60"/>
        <v>0</v>
      </c>
      <c r="G481" s="156">
        <f t="shared" si="62"/>
        <v>0</v>
      </c>
      <c r="H481" s="156">
        <f t="shared" si="63"/>
        <v>0</v>
      </c>
      <c r="I481" s="156">
        <f t="shared" si="61"/>
        <v>0</v>
      </c>
      <c r="J481" s="156">
        <f>SUM($H$17:$H481)</f>
        <v>1423.0974802243</v>
      </c>
    </row>
    <row r="482" hidden="1" spans="1:10">
      <c r="A482" s="154">
        <v>465</v>
      </c>
      <c r="B482" s="155">
        <f ca="1" t="shared" si="58"/>
        <v>74571</v>
      </c>
      <c r="C482" s="156">
        <f t="shared" si="57"/>
        <v>0</v>
      </c>
      <c r="D482" s="156">
        <f t="shared" si="64"/>
        <v>3570.51624670405</v>
      </c>
      <c r="E482" s="156">
        <f t="shared" si="59"/>
        <v>0</v>
      </c>
      <c r="F482" s="156">
        <f t="shared" si="60"/>
        <v>0</v>
      </c>
      <c r="G482" s="156">
        <f t="shared" si="62"/>
        <v>0</v>
      </c>
      <c r="H482" s="156">
        <f t="shared" si="63"/>
        <v>0</v>
      </c>
      <c r="I482" s="156">
        <f t="shared" si="61"/>
        <v>0</v>
      </c>
      <c r="J482" s="156">
        <f>SUM($H$17:$H482)</f>
        <v>1423.0974802243</v>
      </c>
    </row>
    <row r="483" hidden="1" spans="1:10">
      <c r="A483" s="154">
        <v>466</v>
      </c>
      <c r="B483" s="155">
        <f ca="1" t="shared" si="58"/>
        <v>74632</v>
      </c>
      <c r="C483" s="156">
        <f t="shared" si="57"/>
        <v>0</v>
      </c>
      <c r="D483" s="156">
        <f t="shared" si="64"/>
        <v>3570.51624670405</v>
      </c>
      <c r="E483" s="156">
        <f t="shared" si="59"/>
        <v>0</v>
      </c>
      <c r="F483" s="156">
        <f t="shared" si="60"/>
        <v>0</v>
      </c>
      <c r="G483" s="156">
        <f t="shared" si="62"/>
        <v>0</v>
      </c>
      <c r="H483" s="156">
        <f t="shared" si="63"/>
        <v>0</v>
      </c>
      <c r="I483" s="156">
        <f t="shared" si="61"/>
        <v>0</v>
      </c>
      <c r="J483" s="156">
        <f>SUM($H$17:$H483)</f>
        <v>1423.0974802243</v>
      </c>
    </row>
    <row r="484" hidden="1" spans="1:10">
      <c r="A484" s="154">
        <v>467</v>
      </c>
      <c r="B484" s="155">
        <f ca="1" t="shared" si="58"/>
        <v>74693</v>
      </c>
      <c r="C484" s="156">
        <f t="shared" si="57"/>
        <v>0</v>
      </c>
      <c r="D484" s="156">
        <f t="shared" si="64"/>
        <v>3570.51624670405</v>
      </c>
      <c r="E484" s="156">
        <f t="shared" si="59"/>
        <v>0</v>
      </c>
      <c r="F484" s="156">
        <f t="shared" si="60"/>
        <v>0</v>
      </c>
      <c r="G484" s="156">
        <f t="shared" si="62"/>
        <v>0</v>
      </c>
      <c r="H484" s="156">
        <f t="shared" si="63"/>
        <v>0</v>
      </c>
      <c r="I484" s="156">
        <f t="shared" si="61"/>
        <v>0</v>
      </c>
      <c r="J484" s="156">
        <f>SUM($H$17:$H484)</f>
        <v>1423.0974802243</v>
      </c>
    </row>
    <row r="485" hidden="1" spans="1:10">
      <c r="A485" s="154">
        <v>468</v>
      </c>
      <c r="B485" s="155">
        <f ca="1" t="shared" si="58"/>
        <v>74755</v>
      </c>
      <c r="C485" s="156">
        <f t="shared" si="57"/>
        <v>0</v>
      </c>
      <c r="D485" s="156">
        <f t="shared" si="64"/>
        <v>3570.51624670405</v>
      </c>
      <c r="E485" s="156">
        <f t="shared" si="59"/>
        <v>0</v>
      </c>
      <c r="F485" s="156">
        <f t="shared" si="60"/>
        <v>0</v>
      </c>
      <c r="G485" s="156">
        <f t="shared" si="62"/>
        <v>0</v>
      </c>
      <c r="H485" s="156">
        <f t="shared" si="63"/>
        <v>0</v>
      </c>
      <c r="I485" s="156">
        <f t="shared" si="61"/>
        <v>0</v>
      </c>
      <c r="J485" s="156">
        <f>SUM($H$17:$H485)</f>
        <v>1423.0974802243</v>
      </c>
    </row>
    <row r="486" hidden="1" spans="1:10">
      <c r="A486" s="154">
        <v>469</v>
      </c>
      <c r="B486" s="155">
        <f ca="1" t="shared" si="58"/>
        <v>74816</v>
      </c>
      <c r="C486" s="156">
        <f t="shared" si="57"/>
        <v>0</v>
      </c>
      <c r="D486" s="156">
        <f t="shared" si="64"/>
        <v>3570.51624670405</v>
      </c>
      <c r="E486" s="156">
        <f t="shared" si="59"/>
        <v>0</v>
      </c>
      <c r="F486" s="156">
        <f t="shared" si="60"/>
        <v>0</v>
      </c>
      <c r="G486" s="156">
        <f t="shared" si="62"/>
        <v>0</v>
      </c>
      <c r="H486" s="156">
        <f t="shared" si="63"/>
        <v>0</v>
      </c>
      <c r="I486" s="156">
        <f t="shared" si="61"/>
        <v>0</v>
      </c>
      <c r="J486" s="156">
        <f>SUM($H$17:$H486)</f>
        <v>1423.0974802243</v>
      </c>
    </row>
    <row r="487" hidden="1" spans="1:10">
      <c r="A487" s="154">
        <v>470</v>
      </c>
      <c r="B487" s="155">
        <f ca="1" t="shared" si="58"/>
        <v>74877</v>
      </c>
      <c r="C487" s="156">
        <f t="shared" si="57"/>
        <v>0</v>
      </c>
      <c r="D487" s="156">
        <f t="shared" si="64"/>
        <v>3570.51624670405</v>
      </c>
      <c r="E487" s="156">
        <f t="shared" si="59"/>
        <v>0</v>
      </c>
      <c r="F487" s="156">
        <f t="shared" si="60"/>
        <v>0</v>
      </c>
      <c r="G487" s="156">
        <f t="shared" si="62"/>
        <v>0</v>
      </c>
      <c r="H487" s="156">
        <f t="shared" si="63"/>
        <v>0</v>
      </c>
      <c r="I487" s="156">
        <f t="shared" si="61"/>
        <v>0</v>
      </c>
      <c r="J487" s="156">
        <f>SUM($H$17:$H487)</f>
        <v>1423.0974802243</v>
      </c>
    </row>
    <row r="488" hidden="1" spans="1:10">
      <c r="A488" s="154">
        <v>471</v>
      </c>
      <c r="B488" s="155">
        <f ca="1" t="shared" si="58"/>
        <v>74936</v>
      </c>
      <c r="C488" s="156">
        <f t="shared" si="57"/>
        <v>0</v>
      </c>
      <c r="D488" s="156">
        <f t="shared" si="64"/>
        <v>3570.51624670405</v>
      </c>
      <c r="E488" s="156">
        <f t="shared" si="59"/>
        <v>0</v>
      </c>
      <c r="F488" s="156">
        <f t="shared" si="60"/>
        <v>0</v>
      </c>
      <c r="G488" s="156">
        <f t="shared" si="62"/>
        <v>0</v>
      </c>
      <c r="H488" s="156">
        <f t="shared" si="63"/>
        <v>0</v>
      </c>
      <c r="I488" s="156">
        <f t="shared" si="61"/>
        <v>0</v>
      </c>
      <c r="J488" s="156">
        <f>SUM($H$17:$H488)</f>
        <v>1423.0974802243</v>
      </c>
    </row>
    <row r="489" hidden="1" spans="1:10">
      <c r="A489" s="154">
        <v>472</v>
      </c>
      <c r="B489" s="155">
        <f ca="1" t="shared" si="58"/>
        <v>74997</v>
      </c>
      <c r="C489" s="156">
        <f t="shared" si="57"/>
        <v>0</v>
      </c>
      <c r="D489" s="156">
        <f t="shared" si="64"/>
        <v>3570.51624670405</v>
      </c>
      <c r="E489" s="156">
        <f t="shared" si="59"/>
        <v>0</v>
      </c>
      <c r="F489" s="156">
        <f t="shared" si="60"/>
        <v>0</v>
      </c>
      <c r="G489" s="156">
        <f t="shared" si="62"/>
        <v>0</v>
      </c>
      <c r="H489" s="156">
        <f t="shared" si="63"/>
        <v>0</v>
      </c>
      <c r="I489" s="156">
        <f t="shared" si="61"/>
        <v>0</v>
      </c>
      <c r="J489" s="156">
        <f>SUM($H$17:$H489)</f>
        <v>1423.0974802243</v>
      </c>
    </row>
    <row r="490" hidden="1" spans="1:10">
      <c r="A490" s="154">
        <v>473</v>
      </c>
      <c r="B490" s="155">
        <f ca="1" t="shared" si="58"/>
        <v>75058</v>
      </c>
      <c r="C490" s="156">
        <f t="shared" si="57"/>
        <v>0</v>
      </c>
      <c r="D490" s="156">
        <f t="shared" si="64"/>
        <v>3570.51624670405</v>
      </c>
      <c r="E490" s="156">
        <f t="shared" si="59"/>
        <v>0</v>
      </c>
      <c r="F490" s="156">
        <f t="shared" si="60"/>
        <v>0</v>
      </c>
      <c r="G490" s="156">
        <f t="shared" si="62"/>
        <v>0</v>
      </c>
      <c r="H490" s="156">
        <f t="shared" si="63"/>
        <v>0</v>
      </c>
      <c r="I490" s="156">
        <f t="shared" si="61"/>
        <v>0</v>
      </c>
      <c r="J490" s="156">
        <f>SUM($H$17:$H490)</f>
        <v>1423.0974802243</v>
      </c>
    </row>
    <row r="491" hidden="1" spans="1:10">
      <c r="A491" s="154">
        <v>474</v>
      </c>
      <c r="B491" s="155">
        <f ca="1" t="shared" si="58"/>
        <v>75120</v>
      </c>
      <c r="C491" s="156">
        <f t="shared" si="57"/>
        <v>0</v>
      </c>
      <c r="D491" s="156">
        <f t="shared" si="64"/>
        <v>3570.51624670405</v>
      </c>
      <c r="E491" s="156">
        <f t="shared" si="59"/>
        <v>0</v>
      </c>
      <c r="F491" s="156">
        <f t="shared" si="60"/>
        <v>0</v>
      </c>
      <c r="G491" s="156">
        <f t="shared" si="62"/>
        <v>0</v>
      </c>
      <c r="H491" s="156">
        <f t="shared" si="63"/>
        <v>0</v>
      </c>
      <c r="I491" s="156">
        <f t="shared" si="61"/>
        <v>0</v>
      </c>
      <c r="J491" s="156">
        <f>SUM($H$17:$H491)</f>
        <v>1423.0974802243</v>
      </c>
    </row>
    <row r="492" hidden="1" spans="1:10">
      <c r="A492" s="154">
        <v>475</v>
      </c>
      <c r="B492" s="155">
        <f ca="1" t="shared" si="58"/>
        <v>75181</v>
      </c>
      <c r="C492" s="156">
        <f t="shared" si="57"/>
        <v>0</v>
      </c>
      <c r="D492" s="156">
        <f t="shared" si="64"/>
        <v>3570.51624670405</v>
      </c>
      <c r="E492" s="156">
        <f t="shared" si="59"/>
        <v>0</v>
      </c>
      <c r="F492" s="156">
        <f t="shared" si="60"/>
        <v>0</v>
      </c>
      <c r="G492" s="156">
        <f t="shared" si="62"/>
        <v>0</v>
      </c>
      <c r="H492" s="156">
        <f t="shared" si="63"/>
        <v>0</v>
      </c>
      <c r="I492" s="156">
        <f t="shared" si="61"/>
        <v>0</v>
      </c>
      <c r="J492" s="156">
        <f>SUM($H$17:$H492)</f>
        <v>1423.0974802243</v>
      </c>
    </row>
    <row r="493" hidden="1" spans="1:10">
      <c r="A493" s="154">
        <v>476</v>
      </c>
      <c r="B493" s="155">
        <f ca="1" t="shared" si="58"/>
        <v>75242</v>
      </c>
      <c r="C493" s="156">
        <f t="shared" si="57"/>
        <v>0</v>
      </c>
      <c r="D493" s="156">
        <f t="shared" si="64"/>
        <v>3570.51624670405</v>
      </c>
      <c r="E493" s="156">
        <f t="shared" si="59"/>
        <v>0</v>
      </c>
      <c r="F493" s="156">
        <f t="shared" si="60"/>
        <v>0</v>
      </c>
      <c r="G493" s="156">
        <f t="shared" si="62"/>
        <v>0</v>
      </c>
      <c r="H493" s="156">
        <f t="shared" si="63"/>
        <v>0</v>
      </c>
      <c r="I493" s="156">
        <f t="shared" si="61"/>
        <v>0</v>
      </c>
      <c r="J493" s="156">
        <f>SUM($H$17:$H493)</f>
        <v>1423.0974802243</v>
      </c>
    </row>
    <row r="494" hidden="1" spans="1:10">
      <c r="A494" s="154">
        <v>477</v>
      </c>
      <c r="B494" s="155">
        <f ca="1" t="shared" si="58"/>
        <v>75301</v>
      </c>
      <c r="C494" s="156">
        <f t="shared" si="57"/>
        <v>0</v>
      </c>
      <c r="D494" s="156">
        <f t="shared" si="64"/>
        <v>3570.51624670405</v>
      </c>
      <c r="E494" s="156">
        <f t="shared" si="59"/>
        <v>0</v>
      </c>
      <c r="F494" s="156">
        <f t="shared" si="60"/>
        <v>0</v>
      </c>
      <c r="G494" s="156">
        <f t="shared" si="62"/>
        <v>0</v>
      </c>
      <c r="H494" s="156">
        <f t="shared" si="63"/>
        <v>0</v>
      </c>
      <c r="I494" s="156">
        <f t="shared" si="61"/>
        <v>0</v>
      </c>
      <c r="J494" s="156">
        <f>SUM($H$17:$H494)</f>
        <v>1423.0974802243</v>
      </c>
    </row>
    <row r="495" hidden="1" spans="1:10">
      <c r="A495" s="154">
        <v>478</v>
      </c>
      <c r="B495" s="155">
        <f ca="1" t="shared" si="58"/>
        <v>75362</v>
      </c>
      <c r="C495" s="156">
        <f t="shared" si="57"/>
        <v>0</v>
      </c>
      <c r="D495" s="156">
        <f t="shared" si="64"/>
        <v>3570.51624670405</v>
      </c>
      <c r="E495" s="156">
        <f t="shared" si="59"/>
        <v>0</v>
      </c>
      <c r="F495" s="156">
        <f t="shared" si="60"/>
        <v>0</v>
      </c>
      <c r="G495" s="156">
        <f t="shared" si="62"/>
        <v>0</v>
      </c>
      <c r="H495" s="156">
        <f t="shared" si="63"/>
        <v>0</v>
      </c>
      <c r="I495" s="156">
        <f t="shared" si="61"/>
        <v>0</v>
      </c>
      <c r="J495" s="156">
        <f>SUM($H$17:$H495)</f>
        <v>1423.0974802243</v>
      </c>
    </row>
    <row r="496" hidden="1" spans="1:10">
      <c r="A496" s="154">
        <v>479</v>
      </c>
      <c r="B496" s="155">
        <f ca="1" t="shared" si="58"/>
        <v>75423</v>
      </c>
      <c r="C496" s="156">
        <f t="shared" si="57"/>
        <v>0</v>
      </c>
      <c r="D496" s="156">
        <f t="shared" si="64"/>
        <v>3570.51624670405</v>
      </c>
      <c r="E496" s="156">
        <f t="shared" si="59"/>
        <v>0</v>
      </c>
      <c r="F496" s="156">
        <f t="shared" si="60"/>
        <v>0</v>
      </c>
      <c r="G496" s="156">
        <f t="shared" si="62"/>
        <v>0</v>
      </c>
      <c r="H496" s="156">
        <f t="shared" si="63"/>
        <v>0</v>
      </c>
      <c r="I496" s="156">
        <f t="shared" si="61"/>
        <v>0</v>
      </c>
      <c r="J496" s="156">
        <f>SUM($H$17:$H496)</f>
        <v>1423.0974802243</v>
      </c>
    </row>
    <row r="497" hidden="1" spans="1:10">
      <c r="A497" s="154">
        <v>480</v>
      </c>
      <c r="B497" s="155">
        <f ca="1" t="shared" si="58"/>
        <v>75485</v>
      </c>
      <c r="C497" s="156">
        <f t="shared" si="57"/>
        <v>0</v>
      </c>
      <c r="D497" s="156">
        <f t="shared" si="64"/>
        <v>3570.51624670405</v>
      </c>
      <c r="E497" s="156">
        <f t="shared" si="59"/>
        <v>0</v>
      </c>
      <c r="F497" s="156">
        <f t="shared" si="60"/>
        <v>0</v>
      </c>
      <c r="G497" s="156">
        <f t="shared" si="62"/>
        <v>0</v>
      </c>
      <c r="H497" s="156">
        <f t="shared" si="63"/>
        <v>0</v>
      </c>
      <c r="I497" s="156">
        <f t="shared" si="61"/>
        <v>0</v>
      </c>
      <c r="J497" s="156">
        <f>SUM($H$17:$H497)</f>
        <v>1423.0974802243</v>
      </c>
    </row>
    <row r="498" hidden="1"/>
  </sheetData>
  <mergeCells count="1">
    <mergeCell ref="H4:J4"/>
  </mergeCells>
  <conditionalFormatting sqref="A41:A497">
    <cfRule type="expression" dxfId="0" priority="4" stopIfTrue="1">
      <formula>IF(ROW(A41)&gt;Last_Row,TRUE,FALSE)</formula>
    </cfRule>
    <cfRule type="expression" dxfId="1" priority="5" stopIfTrue="1">
      <formula>IF(ROW(A41)=Last_Row,TRUE,FALSE)</formula>
    </cfRule>
    <cfRule type="expression" dxfId="2" priority="6" stopIfTrue="1">
      <formula>IF(ROW(A41)&lt;Last_Row,TRUE,FALSE)</formula>
    </cfRule>
  </conditionalFormatting>
  <conditionalFormatting sqref="A17:A64 A71:E497">
    <cfRule type="expression" dxfId="2" priority="10" stopIfTrue="1">
      <formula>IF(ROW(A17)&lt;Last_Row,TRUE,FALSE)</formula>
    </cfRule>
  </conditionalFormatting>
  <conditionalFormatting sqref="A17:A64 A71:J497">
    <cfRule type="expression" dxfId="1" priority="9" stopIfTrue="1">
      <formula>IF(ROW(A17)=Last_Row,TRUE,FALSE)</formula>
    </cfRule>
  </conditionalFormatting>
  <conditionalFormatting sqref="A71:J497 A17:A64">
    <cfRule type="expression" dxfId="0" priority="8" stopIfTrue="1">
      <formula>IF(ROW(A17)&gt;Last_Row,TRUE,FALSE)</formula>
    </cfRule>
  </conditionalFormatting>
  <conditionalFormatting sqref="B17:E497">
    <cfRule type="expression" dxfId="2" priority="3" stopIfTrue="1">
      <formula>IF(ROW(B17)&lt;Last_Row,TRUE,FALSE)</formula>
    </cfRule>
  </conditionalFormatting>
  <conditionalFormatting sqref="B17:J497">
    <cfRule type="expression" dxfId="0" priority="1" stopIfTrue="1">
      <formula>IF(ROW(B17)&gt;Last_Row,TRUE,FALSE)</formula>
    </cfRule>
    <cfRule type="expression" dxfId="1" priority="2" stopIfTrue="1">
      <formula>IF(ROW(B17)=Last_Row,TRUE,FALSE)</formula>
    </cfRule>
  </conditionalFormatting>
  <conditionalFormatting sqref="F17:J497">
    <cfRule type="expression" dxfId="2" priority="7" stopIfTrue="1">
      <formula>IF(ROW(F17)&lt;=Last_Row,TRUE,FALSE)</formula>
    </cfRule>
  </conditionalFormatting>
  <conditionalFormatting sqref="F71:J497">
    <cfRule type="expression" dxfId="2" priority="11" stopIfTrue="1">
      <formula>IF(ROW(F71)&lt;=Last_Row,TRUE,FALSE)</formula>
    </cfRule>
  </conditionalFormatting>
  <dataValidations count="3">
    <dataValidation type="whole" operator="between" allowBlank="1" showInputMessage="1" showErrorMessage="1" errorTitle="Years" error="Please enter a whole number of years from 1 to 40." sqref="D7">
      <formula1>1</formula1>
      <formula2>40</formula2>
    </dataValidation>
    <dataValidation type="date" operator="greaterThanOrEqual" allowBlank="1" showInputMessage="1" showErrorMessage="1" errorTitle="Date" error="Please enter a valid date greater than or equal to January 1, 1900." sqref="D9">
      <formula1>1</formula1>
    </dataValidation>
    <dataValidation allowBlank="1" showInputMessage="1" showErrorMessage="1" promptTitle="Extra Payments" prompt="Enter an amount here if you want to make additional principal payments every pay period.&#10;&#10;For occasional extra payments, enter the extra principal amounts directly in the 'Extra Payment' column below." sqref="D10"/>
  </dataValidations>
  <printOptions horizontalCentered="1"/>
  <pageMargins left="0.236220472440945" right="0.236220472440945" top="0.118110236220472" bottom="5.87" header="0.118110236220472" footer="0.12"/>
  <pageSetup paperSize="9" scale="54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5"/>
    <pageSetUpPr fitToPage="1"/>
  </sheetPr>
  <dimension ref="B1:G69"/>
  <sheetViews>
    <sheetView view="pageBreakPreview" zoomScale="85" zoomScaleNormal="90" topLeftCell="A40" workbookViewId="0">
      <selection activeCell="C7" sqref="C7"/>
    </sheetView>
  </sheetViews>
  <sheetFormatPr defaultColWidth="0" defaultRowHeight="15" customHeight="1" outlineLevelCol="6"/>
  <cols>
    <col min="1" max="1" width="1.71111111111111" style="42" customWidth="1"/>
    <col min="2" max="2" width="28.7111111111111" style="42" customWidth="1"/>
    <col min="3" max="3" width="23.4222222222222" style="42" customWidth="1"/>
    <col min="4" max="4" width="70.7111111111111" style="42" customWidth="1"/>
    <col min="5" max="5" width="1.71111111111111" style="42" customWidth="1"/>
    <col min="6" max="6" width="36.7111111111111" style="42" customWidth="1"/>
    <col min="7" max="7" width="35.7111111111111" style="42" customWidth="1"/>
    <col min="8" max="8" width="1.71111111111111" style="42" customWidth="1"/>
    <col min="9" max="13" width="9.28888888888889" style="42" hidden="1" customWidth="1"/>
    <col min="14" max="21" width="0" style="42" hidden="1" customWidth="1"/>
    <col min="22" max="16384" width="9.28888888888889" style="42" hidden="1"/>
  </cols>
  <sheetData>
    <row r="1" ht="10.2" customHeight="1"/>
    <row r="2" customHeight="1" spans="2:7">
      <c r="C2" s="43" t="str">
        <f>'1.A. Loan Calculators(JACINTO)'!C11</f>
        <v>**JACINTO, EUFEMIO JOSE N.**</v>
      </c>
      <c r="D2" s="43"/>
      <c r="E2" s="43"/>
    </row>
    <row r="3" ht="20.1" customHeight="1" spans="2:7">
      <c r="B3" s="44" t="s">
        <v>33</v>
      </c>
      <c r="C3" s="45"/>
      <c r="D3" s="45"/>
      <c r="E3" s="45"/>
      <c r="F3" s="46" t="s">
        <v>34</v>
      </c>
      <c r="G3" s="47">
        <f>+G25</f>
        <v>-38634.603458434</v>
      </c>
    </row>
    <row r="4" ht="10.2" customHeight="1"/>
    <row r="5" ht="10.2" customHeight="1" spans="2:7">
      <c r="C5" s="48" t="s">
        <v>35</v>
      </c>
      <c r="D5" s="48"/>
      <c r="E5" s="48"/>
      <c r="F5" s="48"/>
      <c r="G5" s="48"/>
    </row>
    <row r="6" ht="20.1" customHeight="1" spans="2:7">
      <c r="B6" s="44" t="s">
        <v>36</v>
      </c>
      <c r="C6" s="49"/>
      <c r="D6" s="49"/>
      <c r="E6" s="49"/>
      <c r="F6" s="49"/>
      <c r="G6" s="49"/>
    </row>
    <row r="7" ht="10.2" customHeight="1"/>
    <row r="8" ht="10.2" customHeight="1"/>
    <row r="9" ht="10.2" customHeight="1"/>
    <row r="10" s="39" customFormat="1" ht="40.2" customHeight="1" spans="2:7">
      <c r="B10" s="50" t="s">
        <v>37</v>
      </c>
      <c r="C10" s="51" t="s">
        <v>38</v>
      </c>
      <c r="D10" s="52"/>
      <c r="E10" s="53"/>
      <c r="F10" s="50" t="s">
        <v>39</v>
      </c>
      <c r="G10" s="50" t="s">
        <v>40</v>
      </c>
    </row>
    <row r="11" ht="20.1" customHeight="1" spans="2:7">
      <c r="B11" s="54"/>
      <c r="C11" s="55"/>
      <c r="D11" s="56"/>
      <c r="E11" s="56"/>
      <c r="F11" s="57"/>
      <c r="G11" s="57"/>
    </row>
    <row r="12" ht="20.1" customHeight="1" spans="2:7">
      <c r="B12" s="58"/>
      <c r="C12" s="59"/>
      <c r="D12" s="60"/>
      <c r="E12" s="60"/>
      <c r="F12" s="61"/>
      <c r="G12" s="61"/>
    </row>
    <row r="13" ht="20.1" customHeight="1" spans="2:7">
      <c r="B13" s="58"/>
      <c r="C13" s="59"/>
      <c r="D13" s="60"/>
      <c r="E13" s="60"/>
      <c r="F13" s="61"/>
      <c r="G13" s="61"/>
    </row>
    <row r="14" ht="20.1" customHeight="1" spans="2:7">
      <c r="B14" s="58"/>
      <c r="C14" s="59"/>
      <c r="D14" s="60"/>
      <c r="E14" s="60"/>
      <c r="F14" s="61"/>
      <c r="G14" s="61"/>
    </row>
    <row r="15" ht="20.1" customHeight="1" spans="2:7">
      <c r="B15" s="58"/>
      <c r="C15" s="59"/>
      <c r="D15" s="60"/>
      <c r="E15" s="60"/>
      <c r="F15" s="61"/>
      <c r="G15" s="61"/>
    </row>
    <row r="16" ht="20.1" customHeight="1" spans="2:7">
      <c r="B16" s="58"/>
      <c r="C16" s="59"/>
      <c r="D16" s="60"/>
      <c r="E16" s="60"/>
      <c r="F16" s="61"/>
      <c r="G16" s="61"/>
    </row>
    <row r="17" ht="20.1" customHeight="1" spans="2:7">
      <c r="B17" s="58"/>
      <c r="C17" s="59"/>
      <c r="D17" s="60"/>
      <c r="E17" s="60"/>
      <c r="F17" s="61"/>
      <c r="G17" s="61"/>
    </row>
    <row r="18" ht="20.1" customHeight="1" spans="2:7">
      <c r="B18" s="58"/>
      <c r="C18" s="59"/>
      <c r="D18" s="60"/>
      <c r="E18" s="60"/>
      <c r="F18" s="61"/>
      <c r="G18" s="61"/>
    </row>
    <row r="19" ht="20.1" customHeight="1" spans="2:7">
      <c r="B19" s="58"/>
      <c r="C19" s="59"/>
      <c r="D19" s="60"/>
      <c r="E19" s="60"/>
      <c r="F19" s="61"/>
      <c r="G19" s="61"/>
    </row>
    <row r="20" ht="20.1" customHeight="1" spans="2:7">
      <c r="B20" s="58"/>
      <c r="C20" s="59"/>
      <c r="D20" s="60"/>
      <c r="E20" s="60"/>
      <c r="F20" s="61"/>
      <c r="G20" s="61"/>
    </row>
    <row r="21" ht="20.1" customHeight="1" spans="2:7">
      <c r="B21" s="58"/>
      <c r="C21" s="59" t="s">
        <v>41</v>
      </c>
      <c r="D21" s="60"/>
      <c r="E21" s="60"/>
      <c r="F21" s="61">
        <f>SUM(G22:G25)</f>
        <v>21423.0974802243</v>
      </c>
      <c r="G21" s="61"/>
    </row>
    <row r="22" ht="20.1" customHeight="1" spans="2:7">
      <c r="B22" s="58"/>
      <c r="C22" s="59"/>
      <c r="D22" s="60" t="s">
        <v>42</v>
      </c>
      <c r="E22" s="60"/>
      <c r="F22" s="61"/>
      <c r="G22" s="61">
        <v>200</v>
      </c>
    </row>
    <row r="23" s="40" customFormat="1" ht="20.1" customHeight="1" spans="2:7">
      <c r="B23" s="62"/>
      <c r="C23" s="63"/>
      <c r="D23" s="60" t="s">
        <v>43</v>
      </c>
      <c r="E23" s="60"/>
      <c r="F23" s="61"/>
      <c r="G23" s="64">
        <v>58434.603458434</v>
      </c>
    </row>
    <row r="24" ht="20.1" customHeight="1" spans="2:7">
      <c r="B24" s="58"/>
      <c r="C24" s="59"/>
      <c r="D24" s="60" t="s">
        <v>44</v>
      </c>
      <c r="E24" s="60"/>
      <c r="F24" s="61"/>
      <c r="G24" s="61">
        <f>'1.A. Loan Calculators(JACINTO)'!J9</f>
        <v>1423.0974802243</v>
      </c>
    </row>
    <row r="25" ht="20.1" customHeight="1" spans="2:7">
      <c r="B25" s="58"/>
      <c r="C25" s="59"/>
      <c r="D25" s="60" t="s">
        <v>45</v>
      </c>
      <c r="E25" s="60"/>
      <c r="F25" s="61"/>
      <c r="G25" s="61">
        <f>+D40-G23-G22</f>
        <v>-38634.603458434</v>
      </c>
    </row>
    <row r="26" ht="20.1" customHeight="1" spans="2:7">
      <c r="B26" s="58"/>
      <c r="C26" s="59"/>
      <c r="D26" s="60"/>
      <c r="E26" s="60"/>
      <c r="F26" s="61"/>
      <c r="G26" s="61"/>
    </row>
    <row r="27" ht="20.1" customHeight="1" spans="2:7">
      <c r="B27" s="58"/>
      <c r="C27" s="59"/>
      <c r="D27" s="60"/>
      <c r="E27" s="60"/>
      <c r="F27" s="61"/>
      <c r="G27" s="61"/>
    </row>
    <row r="28" ht="20.1" customHeight="1" spans="2:7">
      <c r="B28" s="58"/>
      <c r="C28" s="59"/>
      <c r="D28" s="60"/>
      <c r="E28" s="60"/>
      <c r="F28" s="61"/>
      <c r="G28" s="61"/>
    </row>
    <row r="29" ht="20.1" customHeight="1" spans="2:7">
      <c r="B29" s="58"/>
      <c r="C29" s="59"/>
      <c r="D29" s="60"/>
      <c r="E29" s="60"/>
      <c r="F29" s="61"/>
      <c r="G29" s="61"/>
    </row>
    <row r="30" ht="20.1" customHeight="1" spans="2:7">
      <c r="B30" s="58"/>
      <c r="C30" s="59"/>
      <c r="D30" s="60"/>
      <c r="E30" s="60"/>
      <c r="F30" s="61"/>
      <c r="G30" s="61"/>
    </row>
    <row r="31" ht="20.1" customHeight="1" spans="2:7">
      <c r="B31" s="58"/>
      <c r="C31" s="59"/>
      <c r="D31" s="60"/>
      <c r="E31" s="60"/>
      <c r="F31" s="61"/>
      <c r="G31" s="61"/>
    </row>
    <row r="32" ht="20.1" customHeight="1" spans="2:7">
      <c r="B32" s="58"/>
      <c r="C32" s="59"/>
      <c r="D32" s="60"/>
      <c r="E32" s="60"/>
      <c r="F32" s="61"/>
      <c r="G32" s="61"/>
    </row>
    <row r="33" ht="20.1" customHeight="1" spans="2:7">
      <c r="B33" s="58"/>
      <c r="C33" s="59"/>
      <c r="D33" s="60"/>
      <c r="E33" s="60"/>
      <c r="F33" s="61"/>
      <c r="G33" s="61"/>
    </row>
    <row r="34" ht="20.1" customHeight="1" spans="2:7">
      <c r="B34" s="65"/>
      <c r="C34" s="66"/>
      <c r="D34" s="67"/>
      <c r="E34" s="67"/>
      <c r="F34" s="68"/>
      <c r="G34" s="68"/>
    </row>
    <row r="35" s="41" customFormat="1" ht="30" customHeight="1" spans="2:7">
      <c r="B35" s="69" t="s">
        <v>46</v>
      </c>
      <c r="C35" s="70"/>
      <c r="D35" s="70"/>
      <c r="E35" s="71"/>
      <c r="F35" s="72">
        <f>SUM(F11:F34)</f>
        <v>21423.0974802243</v>
      </c>
      <c r="G35" s="72">
        <f t="shared" ref="G35" si="0">SUM(G11:G34)</f>
        <v>21423.0974802243</v>
      </c>
    </row>
    <row r="36" ht="10.2" customHeight="1" spans="2:7">
      <c r="B36" s="73"/>
      <c r="C36" s="74"/>
      <c r="D36" s="74"/>
      <c r="E36" s="74"/>
      <c r="F36" s="74"/>
      <c r="G36" s="75"/>
    </row>
    <row r="37" ht="10.2" customHeight="1" spans="2:7">
      <c r="B37" s="76"/>
      <c r="G37" s="77"/>
    </row>
    <row r="38" ht="20.1" customHeight="1" spans="2:7">
      <c r="B38" s="78" t="s">
        <v>47</v>
      </c>
      <c r="G38" s="77"/>
    </row>
    <row r="39" ht="20.1" customHeight="1" spans="2:7">
      <c r="B39" s="79"/>
      <c r="C39" s="80"/>
      <c r="D39" s="80"/>
      <c r="E39" s="80"/>
      <c r="F39" s="80"/>
      <c r="G39" s="81"/>
    </row>
    <row r="40" ht="20.1" customHeight="1" spans="2:7">
      <c r="B40" s="79"/>
      <c r="C40" s="82" t="s">
        <v>8</v>
      </c>
      <c r="D40" s="83">
        <f>'1.A. Loan Calculators(JACINTO)'!Loan_Amount</f>
        <v>20000</v>
      </c>
      <c r="E40" s="80"/>
      <c r="F40" s="80"/>
      <c r="G40" s="81"/>
    </row>
    <row r="41" ht="20.1" customHeight="1" spans="2:7">
      <c r="B41" s="79"/>
      <c r="C41" s="82" t="s">
        <v>14</v>
      </c>
      <c r="D41" s="84">
        <f>'1.A. Loan Calculators(JACINTO)'!Num_Pmt_Per_Year</f>
        <v>6</v>
      </c>
      <c r="E41" s="80"/>
      <c r="F41" s="80"/>
      <c r="G41" s="81"/>
    </row>
    <row r="42" ht="20.1" customHeight="1" spans="2:7">
      <c r="B42" s="79"/>
      <c r="C42" s="82" t="s">
        <v>10</v>
      </c>
      <c r="D42" s="85">
        <f>'1.A. Loan Calculators(JACINTO)'!Interest_Rate</f>
        <v>0.12</v>
      </c>
      <c r="E42" s="80"/>
      <c r="F42" s="80"/>
      <c r="G42" s="81"/>
    </row>
    <row r="43" ht="20.1" customHeight="1" spans="2:7">
      <c r="B43" s="79"/>
      <c r="C43" s="82" t="s">
        <v>9</v>
      </c>
      <c r="D43" s="83">
        <f>'1.A. Loan Calculators(JACINTO)'!Scheduled_Monthly_Payment</f>
        <v>3570.51624670405</v>
      </c>
      <c r="E43" s="80"/>
      <c r="F43" s="80" t="s">
        <v>48</v>
      </c>
      <c r="G43" s="81"/>
    </row>
    <row r="44" ht="20.1" customHeight="1" spans="2:7">
      <c r="B44" s="79"/>
      <c r="C44" s="82"/>
      <c r="D44" s="83">
        <f>+D43*2</f>
        <v>7141.0324934081</v>
      </c>
      <c r="E44" s="80"/>
      <c r="F44" s="80" t="s">
        <v>49</v>
      </c>
      <c r="G44" s="81"/>
    </row>
    <row r="45" ht="20.1" customHeight="1" spans="2:7">
      <c r="B45" s="79"/>
      <c r="C45" s="80"/>
      <c r="D45" s="80"/>
      <c r="E45" s="80"/>
      <c r="F45" s="80"/>
      <c r="G45" s="81"/>
    </row>
    <row r="46" ht="20.1" customHeight="1" spans="2:7">
      <c r="B46" s="79"/>
      <c r="C46" s="80"/>
      <c r="D46" s="80"/>
      <c r="E46" s="80"/>
      <c r="F46" s="80"/>
      <c r="G46" s="81"/>
    </row>
    <row r="47" ht="20.1" customHeight="1" spans="2:7">
      <c r="B47" s="79"/>
      <c r="C47" s="80"/>
      <c r="D47" s="80"/>
      <c r="E47" s="80"/>
      <c r="F47" s="80"/>
      <c r="G47" s="81"/>
    </row>
    <row r="48" ht="20.1" customHeight="1" spans="2:7">
      <c r="B48" s="86"/>
      <c r="C48" s="87"/>
      <c r="D48" s="87"/>
      <c r="E48" s="87"/>
      <c r="F48" s="87"/>
      <c r="G48" s="88"/>
    </row>
    <row r="49" ht="10.2" customHeight="1" spans="2:7">
      <c r="B49" s="73"/>
      <c r="C49" s="74"/>
      <c r="D49" s="74"/>
      <c r="E49" s="74"/>
      <c r="F49" s="74"/>
      <c r="G49" s="75"/>
    </row>
    <row r="50" ht="10.2" customHeight="1" spans="2:7">
      <c r="B50" s="76"/>
      <c r="G50" s="77"/>
    </row>
    <row r="51" ht="10.2" customHeight="1" spans="2:7">
      <c r="B51" s="76"/>
      <c r="G51" s="77"/>
    </row>
    <row r="52" ht="10.2" customHeight="1" spans="2:7">
      <c r="B52" s="76"/>
      <c r="G52" s="77"/>
    </row>
    <row r="53" ht="20.1" customHeight="1" spans="2:7">
      <c r="B53" s="89" t="s">
        <v>50</v>
      </c>
      <c r="C53" s="90" t="s">
        <v>51</v>
      </c>
      <c r="D53" s="91"/>
      <c r="E53" s="92" t="s">
        <v>52</v>
      </c>
      <c r="F53" s="93" t="str">
        <f>+C2</f>
        <v>**JACINTO, EUFEMIO JOSE N.**</v>
      </c>
      <c r="G53" s="94"/>
    </row>
    <row r="54" ht="20.1" customHeight="1" spans="2:7">
      <c r="B54" s="95"/>
      <c r="C54" s="96"/>
      <c r="E54" s="91"/>
      <c r="F54" s="96"/>
      <c r="G54" s="97"/>
    </row>
    <row r="55" ht="10.2" customHeight="1" spans="2:7">
      <c r="B55" s="95"/>
      <c r="C55" s="96"/>
      <c r="D55" s="96"/>
      <c r="E55" s="96"/>
      <c r="F55" s="96"/>
      <c r="G55" s="97"/>
    </row>
    <row r="56" ht="10.2" customHeight="1" spans="2:7">
      <c r="B56" s="95"/>
      <c r="C56" s="96"/>
      <c r="D56" s="96"/>
      <c r="E56" s="91"/>
      <c r="F56" s="96"/>
      <c r="G56" s="97"/>
    </row>
    <row r="57" ht="20.1" customHeight="1" spans="2:7">
      <c r="B57" s="89" t="s">
        <v>53</v>
      </c>
      <c r="C57" s="98" t="s">
        <v>54</v>
      </c>
      <c r="D57" s="91"/>
      <c r="E57" s="92" t="s">
        <v>55</v>
      </c>
      <c r="F57" s="99"/>
      <c r="G57" s="100"/>
    </row>
    <row r="58" ht="10.2" customHeight="1" spans="2:7">
      <c r="B58" s="95"/>
      <c r="C58" s="96"/>
      <c r="D58" s="96"/>
      <c r="E58" s="96"/>
      <c r="F58" s="96"/>
      <c r="G58" s="97"/>
    </row>
    <row r="59" ht="10.2" customHeight="1" spans="2:7">
      <c r="B59" s="76"/>
      <c r="G59" s="77"/>
    </row>
    <row r="60" ht="10.2" customHeight="1" spans="2:7">
      <c r="B60" s="76"/>
      <c r="G60" s="77"/>
    </row>
    <row r="61" ht="20.1" customHeight="1" spans="2:7">
      <c r="B61" s="95"/>
      <c r="C61" s="92" t="s">
        <v>56</v>
      </c>
      <c r="D61" s="101"/>
      <c r="E61" s="102"/>
      <c r="F61" s="92" t="s">
        <v>57</v>
      </c>
      <c r="G61" s="103">
        <f ca="1">+TODAY()</f>
        <v>46266</v>
      </c>
    </row>
    <row r="62" ht="20.1" customHeight="1" spans="2:7">
      <c r="B62" s="104"/>
      <c r="C62" s="99"/>
      <c r="D62" s="99"/>
      <c r="E62" s="99"/>
      <c r="F62" s="99"/>
      <c r="G62" s="105">
        <f ca="1">+NOW()</f>
        <v>46266.6444560185</v>
      </c>
    </row>
    <row r="63" ht="10.2" customHeight="1" spans="2:7">
      <c r="B63" s="96"/>
      <c r="C63" s="96"/>
      <c r="D63" s="96"/>
      <c r="E63" s="96"/>
      <c r="F63" s="96"/>
      <c r="G63" s="96"/>
    </row>
    <row r="66" customHeight="1" spans="3:3">
      <c r="C66" s="42" t="str">
        <f>+C2</f>
        <v>**JACINTO, EUFEMIO JOSE N.**</v>
      </c>
    </row>
    <row r="67" customHeight="1" spans="3:3">
      <c r="C67" s="42" t="str">
        <f>+C5</f>
        <v>**SIXTY SIX THOUSAND THREE HUNDRED SIXTY FIVE &amp; 40/100 ONLY**</v>
      </c>
    </row>
    <row r="68" customHeight="1" spans="3:3">
      <c r="C68" s="106">
        <f>+G3</f>
        <v>-38634.603458434</v>
      </c>
    </row>
    <row r="69" customHeight="1" spans="3:3">
      <c r="C69" s="42" t="e">
        <f>VLOOKUP(C66,#REF!,2,0)</f>
        <v>#REF!</v>
      </c>
    </row>
  </sheetData>
  <mergeCells count="4">
    <mergeCell ref="C10:E10"/>
    <mergeCell ref="B35:D35"/>
    <mergeCell ref="C2:E3"/>
    <mergeCell ref="C5:G6"/>
  </mergeCells>
  <printOptions horizontalCentered="1"/>
  <pageMargins left="0.12" right="0.12" top="2.03" bottom="0.31" header="0.3" footer="0.3"/>
  <pageSetup paperSize="9" scale="6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E12"/>
  <sheetViews>
    <sheetView view="pageBreakPreview" zoomScaleNormal="100" workbookViewId="0">
      <selection activeCell="B2" sqref="B2:B3"/>
    </sheetView>
  </sheetViews>
  <sheetFormatPr defaultColWidth="0" defaultRowHeight="14.25" customHeight="1" zeroHeight="1" outlineLevelCol="4"/>
  <cols>
    <col min="1" max="1" width="15.8555555555556" style="30" customWidth="1"/>
    <col min="2" max="2" width="26.2888888888889" style="30" customWidth="1"/>
    <col min="3" max="3" width="31.1444444444444" style="30" customWidth="1"/>
    <col min="4" max="4" width="31.4222222222222" style="31" customWidth="1"/>
    <col min="5" max="5" width="29.7111111111111" style="31" customWidth="1"/>
    <col min="6" max="6" width="1" style="30" customWidth="1"/>
    <col min="7" max="16384" width="10.7111111111111" style="30" hidden="1"/>
  </cols>
  <sheetData>
    <row r="1" ht="62.4" customHeight="1"/>
    <row r="2" ht="10.2" customHeight="1" spans="1:5">
      <c r="B2" s="32"/>
      <c r="C2" s="33" t="s">
        <v>58</v>
      </c>
      <c r="D2" s="34" t="e">
        <f>'1.B. Loan-JACINTO'!C69</f>
        <v>#REF!</v>
      </c>
      <c r="E2" s="35" t="str">
        <f>'1.B. Loan-JACINTO'!C66</f>
        <v>**JACINTO, EUFEMIO JOSE N.**</v>
      </c>
    </row>
    <row r="3" s="29" customFormat="1" ht="9" customHeight="1" spans="1:5">
      <c r="B3" s="32"/>
      <c r="C3" s="33" t="s">
        <v>59</v>
      </c>
      <c r="D3" s="34"/>
      <c r="E3" s="35"/>
    </row>
    <row r="4" ht="3.75" customHeight="1"/>
    <row r="5" ht="20.25" customHeight="1" spans="1:5">
      <c r="A5" s="36">
        <f>'1.B. Loan-JACINTO'!C68</f>
        <v>-38634.603458434</v>
      </c>
      <c r="B5" s="36"/>
      <c r="C5" s="36"/>
      <c r="D5" s="35" t="s">
        <v>3</v>
      </c>
      <c r="E5" s="35"/>
    </row>
    <row r="6" ht="16.5" customHeight="1" spans="1:5">
      <c r="D6" s="35"/>
      <c r="E6" s="35"/>
    </row>
    <row r="7" spans="1:5">
      <c r="A7" s="37" t="str">
        <f>'1.B. Loan-JACINTO'!C67</f>
        <v>**SIXTY SIX THOUSAND THREE HUNDRED SIXTY FIVE &amp; 40/100 ONLY**</v>
      </c>
      <c r="B7" s="37"/>
      <c r="C7" s="37"/>
    </row>
    <row r="8" spans="1:5">
      <c r="A8" s="37"/>
      <c r="B8" s="37"/>
      <c r="C8" s="37"/>
    </row>
    <row r="9" ht="99.6" customHeight="1" spans="1:5">
      <c r="D9" s="38"/>
    </row>
    <row r="10" ht="20.25" customHeight="1" spans="1:5">
      <c r="A10" s="35" t="s">
        <v>60</v>
      </c>
      <c r="B10" s="35"/>
      <c r="C10" s="35"/>
      <c r="D10" s="35"/>
      <c r="E10" s="35"/>
    </row>
    <row r="11" ht="18.75" customHeight="1"/>
    <row r="12" ht="6" customHeight="1"/>
  </sheetData>
  <mergeCells count="7">
    <mergeCell ref="A5:C5"/>
    <mergeCell ref="A10:E10"/>
    <mergeCell ref="B2:B3"/>
    <mergeCell ref="D2:D3"/>
    <mergeCell ref="E2:E3"/>
    <mergeCell ref="D5:E6"/>
    <mergeCell ref="A7:C8"/>
  </mergeCells>
  <pageMargins left="0" right="0" top="0" bottom="0.75" header="0.3" footer="0.3"/>
  <pageSetup paperSize="9" scale="95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I26"/>
  <sheetViews>
    <sheetView showGridLines="0" view="pageBreakPreview" zoomScale="145" zoomScaleNormal="100" workbookViewId="0">
      <selection activeCell="H17" sqref="H17"/>
    </sheetView>
  </sheetViews>
  <sheetFormatPr defaultColWidth="0" defaultRowHeight="12"/>
  <cols>
    <col min="1" max="1" width="9.28888888888889" style="22" customWidth="1"/>
    <col min="2" max="2" width="4" style="22" customWidth="1"/>
    <col min="3" max="3" width="48" style="22" customWidth="1"/>
    <col min="4" max="4" width="18.4222222222222" style="22" customWidth="1"/>
    <col min="5" max="5" width="13.4222222222222" style="22" customWidth="1"/>
    <col min="6" max="6" width="2.71111111111111" style="22" customWidth="1"/>
    <col min="7" max="7" width="5.71111111111111" style="22" customWidth="1"/>
    <col min="8" max="8" width="29.2888888888889" style="22" customWidth="1"/>
    <col min="9" max="9" width="9.28888888888889" style="22" customWidth="1"/>
    <col min="10" max="16384" width="9.28888888888889" style="22" hidden="1"/>
  </cols>
  <sheetData>
    <row r="1" spans="1:9">
      <c r="D1" s="23"/>
    </row>
    <row r="2" ht="10.35" customHeight="1"/>
    <row r="3" ht="20.25" customHeight="1" spans="1:9">
      <c r="G3" s="24"/>
      <c r="H3" s="25">
        <f ca="1">+TODAY()</f>
        <v>46266</v>
      </c>
      <c r="I3" s="25"/>
    </row>
    <row r="4" ht="18" customHeight="1"/>
    <row r="5" ht="18" customHeight="1" spans="1:9">
      <c r="C5" s="26" t="str">
        <f>'1.B. Loan-JACINTO'!C66</f>
        <v>**JACINTO, EUFEMIO JOSE N.**</v>
      </c>
      <c r="D5" s="26"/>
      <c r="E5" s="26"/>
      <c r="F5" s="26">
        <v>20000</v>
      </c>
      <c r="H5" s="27">
        <f>+'1.B. Loan-JACINTO'!G3</f>
        <v>-38634.603458434</v>
      </c>
    </row>
    <row r="6" ht="3.75" customHeight="1"/>
    <row r="7" ht="28.2" customHeight="1" spans="1:9">
      <c r="B7" s="28" t="str">
        <f>+'1.B. Loan-JACINTO'!C67</f>
        <v>**SIXTY SIX THOUSAND THREE HUNDRED SIXTY FIVE &amp; 40/100 ONLY**</v>
      </c>
      <c r="C7" s="28"/>
      <c r="D7" s="28"/>
      <c r="E7" s="28"/>
      <c r="F7" s="28"/>
      <c r="G7" s="28"/>
      <c r="H7" s="28"/>
    </row>
    <row r="8" ht="14.25" customHeight="1"/>
    <row r="9" s="21" customFormat="1" spans="1:9">
      <c r="A9" s="22"/>
      <c r="B9" s="22"/>
      <c r="C9" s="22"/>
      <c r="D9" s="22"/>
      <c r="E9" s="22"/>
      <c r="F9" s="22"/>
      <c r="G9" s="22"/>
      <c r="H9" s="22"/>
    </row>
    <row r="26" spans="6:6">
      <c r="F26" s="22" t="s">
        <v>61</v>
      </c>
    </row>
  </sheetData>
  <mergeCells count="3">
    <mergeCell ref="H3:I3"/>
    <mergeCell ref="C5:F5"/>
    <mergeCell ref="B7:H7"/>
  </mergeCells>
  <pageMargins left="0.75" right="0.75" top="0.17" bottom="1" header="0.17" footer="0.5"/>
  <pageSetup paperSize="1" scale="7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theme="5"/>
  </sheetPr>
  <dimension ref="B2:D21"/>
  <sheetViews>
    <sheetView showGridLines="0" zoomScale="115" zoomScaleNormal="115" workbookViewId="0">
      <selection activeCell="C22" sqref="C22"/>
    </sheetView>
  </sheetViews>
  <sheetFormatPr defaultColWidth="0" defaultRowHeight="12" outlineLevelCol="3"/>
  <cols>
    <col min="1" max="1" width="2.71111111111111" style="3" customWidth="1"/>
    <col min="2" max="2" width="32.7111111111111" style="3" customWidth="1"/>
    <col min="3" max="3" width="55.1444444444444" style="3" customWidth="1"/>
    <col min="4" max="4" width="18.1444444444444" style="9" customWidth="1"/>
    <col min="5" max="5" width="2.71111111111111" style="3" customWidth="1"/>
    <col min="6" max="16384" width="0" style="3" hidden="1"/>
  </cols>
  <sheetData>
    <row r="2" spans="2:4">
      <c r="B2" s="10" t="s">
        <v>62</v>
      </c>
    </row>
    <row r="3" ht="19.95" customHeight="1" spans="2:4">
      <c r="B3" s="11" t="s">
        <v>63</v>
      </c>
      <c r="C3" s="11" t="s">
        <v>64</v>
      </c>
      <c r="D3" s="12" t="s">
        <v>65</v>
      </c>
    </row>
    <row r="4" s="8" customFormat="1" spans="2:4">
      <c r="B4" s="13" t="str">
        <f>'1.B. Loan-JACINTO'!C66</f>
        <v>**JACINTO, EUFEMIO JOSE N.**</v>
      </c>
      <c r="C4" s="13" t="s">
        <v>66</v>
      </c>
      <c r="D4" s="14">
        <f>'1.B. Loan-JACINTO'!C68</f>
        <v>-38634.603458434</v>
      </c>
    </row>
    <row r="5" s="8" customFormat="1" spans="2:4">
      <c r="B5" s="13"/>
      <c r="C5" s="13"/>
      <c r="D5" s="14"/>
    </row>
    <row r="6" s="8" customFormat="1" spans="2:4">
      <c r="B6" s="13"/>
      <c r="C6" s="13"/>
      <c r="D6" s="15"/>
    </row>
    <row r="7" s="8" customFormat="1" spans="2:4">
      <c r="B7" s="13"/>
      <c r="C7" s="13"/>
      <c r="D7" s="14"/>
    </row>
    <row r="8" s="8" customFormat="1" spans="2:4">
      <c r="B8" s="13"/>
      <c r="C8" s="13"/>
      <c r="D8" s="14"/>
    </row>
    <row r="9" s="8" customFormat="1" spans="2:4">
      <c r="B9" s="13"/>
      <c r="C9" s="13"/>
      <c r="D9" s="14"/>
    </row>
    <row r="10" s="8" customFormat="1" spans="2:4">
      <c r="B10" s="13"/>
      <c r="C10" s="13"/>
      <c r="D10" s="14"/>
    </row>
    <row r="11" s="8" customFormat="1" spans="2:4">
      <c r="B11" s="13"/>
      <c r="C11" s="13"/>
      <c r="D11" s="14"/>
    </row>
    <row r="12" s="8" customFormat="1" spans="2:4">
      <c r="B12" s="13"/>
      <c r="C12" s="13"/>
      <c r="D12" s="14"/>
    </row>
    <row r="13" s="8" customFormat="1" spans="2:4">
      <c r="B13" s="13"/>
      <c r="C13" s="16"/>
      <c r="D13" s="14"/>
    </row>
    <row r="15" s="8" customFormat="1" hidden="1" spans="2:4">
      <c r="B15" s="13"/>
      <c r="C15" s="17"/>
      <c r="D15" s="14"/>
    </row>
    <row r="16" s="8" customFormat="1" hidden="1" spans="2:4">
      <c r="B16" s="13"/>
      <c r="C16" s="13"/>
      <c r="D16" s="14"/>
    </row>
    <row r="18" spans="2:4">
      <c r="C18" s="18" t="s">
        <v>67</v>
      </c>
      <c r="D18" s="19">
        <f>SUM(D4:D13)</f>
        <v>-38634.603458434</v>
      </c>
    </row>
    <row r="21" spans="2:4">
      <c r="B21" s="20"/>
    </row>
  </sheetData>
  <printOptions horizontalCentered="1"/>
  <pageMargins left="0.196850393700787" right="0.196850393700787" top="0.236220472440945" bottom="0.748031496062992" header="0.118110236220472" footer="0.3149606299212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G400"/>
  <sheetViews>
    <sheetView zoomScale="130" zoomScaleNormal="130" workbookViewId="0">
      <pane ySplit="1" topLeftCell="A129" activePane="bottomLeft" state="frozen"/>
      <selection/>
      <selection pane="bottomLeft" activeCell="C143" sqref="C143"/>
    </sheetView>
  </sheetViews>
  <sheetFormatPr defaultColWidth="0" defaultRowHeight="12" outlineLevelCol="6"/>
  <cols>
    <col min="1" max="1" width="10.7111111111111" style="1" customWidth="1"/>
    <col min="2" max="2" width="31.4222222222222" style="2" hidden="1" customWidth="1"/>
    <col min="3" max="3" width="41.1444444444444" style="2" customWidth="1"/>
    <col min="4" max="4" width="20" style="1" customWidth="1"/>
    <col min="5" max="5" width="1" style="3" customWidth="1"/>
    <col min="6" max="6" width="5.71111111111111" style="3" customWidth="1"/>
    <col min="7" max="7" width="11.1444444444444" style="4" customWidth="1"/>
    <col min="8" max="8" width="1" style="3" customWidth="1"/>
    <col min="9" max="9" width="0" style="3" hidden="1" customWidth="1"/>
    <col min="10" max="16384" width="9.28888888888889" style="3" hidden="1"/>
  </cols>
  <sheetData>
    <row r="1" ht="20.1" customHeight="1" spans="1:7">
      <c r="A1" s="5" t="s">
        <v>68</v>
      </c>
      <c r="B1" s="5" t="s">
        <v>69</v>
      </c>
      <c r="C1" s="5" t="s">
        <v>70</v>
      </c>
      <c r="D1" s="5" t="s">
        <v>71</v>
      </c>
    </row>
    <row r="2" spans="1:7">
      <c r="A2" s="1">
        <v>4226</v>
      </c>
      <c r="B2" s="2" t="s">
        <v>72</v>
      </c>
      <c r="C2" s="2" t="s">
        <v>73</v>
      </c>
      <c r="D2" s="1">
        <v>9024432055</v>
      </c>
      <c r="G2" s="4">
        <v>44206</v>
      </c>
    </row>
    <row r="3" spans="1:7">
      <c r="A3" s="1">
        <v>329</v>
      </c>
      <c r="B3" s="2" t="s">
        <v>74</v>
      </c>
      <c r="C3" s="2" t="s">
        <v>75</v>
      </c>
      <c r="D3" s="1">
        <v>9024431563</v>
      </c>
      <c r="G3" s="4">
        <v>44221</v>
      </c>
    </row>
    <row r="4" spans="1:7">
      <c r="A4" s="1">
        <v>359</v>
      </c>
      <c r="B4" s="2" t="s">
        <v>76</v>
      </c>
      <c r="C4" s="2" t="s">
        <v>77</v>
      </c>
      <c r="D4" s="1">
        <v>9024432160</v>
      </c>
      <c r="G4" s="4">
        <v>44237</v>
      </c>
    </row>
    <row r="5" spans="1:7">
      <c r="A5" s="1">
        <v>6836</v>
      </c>
      <c r="B5" s="2" t="s">
        <v>78</v>
      </c>
      <c r="C5" s="2" t="s">
        <v>79</v>
      </c>
      <c r="D5" s="1">
        <v>9024431903</v>
      </c>
      <c r="G5" s="4">
        <v>44252</v>
      </c>
    </row>
    <row r="6" spans="1:7">
      <c r="A6" s="1">
        <v>1990</v>
      </c>
      <c r="B6" s="2" t="s">
        <v>80</v>
      </c>
      <c r="C6" s="2" t="s">
        <v>81</v>
      </c>
      <c r="D6" s="1">
        <v>9024431148</v>
      </c>
      <c r="G6" s="4">
        <v>44265</v>
      </c>
    </row>
    <row r="7" spans="1:7">
      <c r="A7" s="1">
        <v>1117</v>
      </c>
      <c r="B7" s="2" t="s">
        <v>82</v>
      </c>
      <c r="C7" s="2" t="s">
        <v>83</v>
      </c>
      <c r="D7" s="1">
        <v>9024432020</v>
      </c>
      <c r="G7" s="4">
        <v>44280</v>
      </c>
    </row>
    <row r="8" spans="1:7">
      <c r="A8" s="1">
        <v>1493</v>
      </c>
      <c r="B8" s="2" t="s">
        <v>84</v>
      </c>
      <c r="C8" s="2" t="s">
        <v>85</v>
      </c>
      <c r="D8" s="1">
        <v>9024430990</v>
      </c>
      <c r="G8" s="4">
        <v>44296</v>
      </c>
    </row>
    <row r="9" spans="1:7">
      <c r="A9" s="1">
        <v>6956</v>
      </c>
      <c r="B9" s="2" t="s">
        <v>86</v>
      </c>
      <c r="C9" s="2" t="s">
        <v>87</v>
      </c>
      <c r="D9" s="1">
        <v>9022259240</v>
      </c>
      <c r="G9" s="4">
        <v>44311</v>
      </c>
    </row>
    <row r="10" spans="1:7">
      <c r="A10" s="1">
        <v>1442</v>
      </c>
      <c r="B10" s="2" t="s">
        <v>88</v>
      </c>
      <c r="C10" s="2" t="s">
        <v>89</v>
      </c>
      <c r="D10" s="1">
        <v>9024431326</v>
      </c>
      <c r="G10" s="4">
        <v>44326</v>
      </c>
    </row>
    <row r="11" spans="1:7">
      <c r="A11" s="1">
        <v>2702</v>
      </c>
      <c r="B11" s="2" t="s">
        <v>90</v>
      </c>
      <c r="C11" s="2" t="s">
        <v>91</v>
      </c>
      <c r="D11" s="1">
        <v>9024430834</v>
      </c>
      <c r="G11" s="4">
        <v>44341</v>
      </c>
    </row>
    <row r="12" spans="1:7">
      <c r="A12" s="1">
        <v>565</v>
      </c>
      <c r="B12" s="2" t="s">
        <v>92</v>
      </c>
      <c r="C12" s="2" t="s">
        <v>93</v>
      </c>
      <c r="D12" s="1">
        <v>9024431342</v>
      </c>
      <c r="G12" s="4">
        <v>44357</v>
      </c>
    </row>
    <row r="13" spans="1:7">
      <c r="A13" s="1">
        <v>1438</v>
      </c>
      <c r="B13" s="2" t="s">
        <v>94</v>
      </c>
      <c r="C13" s="2" t="s">
        <v>95</v>
      </c>
      <c r="D13" s="1">
        <v>9024430885</v>
      </c>
      <c r="G13" s="4">
        <v>44372</v>
      </c>
    </row>
    <row r="14" spans="1:7">
      <c r="A14" s="1">
        <v>472</v>
      </c>
      <c r="B14" s="2" t="s">
        <v>96</v>
      </c>
      <c r="C14" s="2" t="s">
        <v>97</v>
      </c>
      <c r="D14" s="1">
        <v>9026497278</v>
      </c>
      <c r="G14" s="4">
        <v>44387</v>
      </c>
    </row>
    <row r="15" spans="1:7">
      <c r="A15" s="1">
        <v>1441</v>
      </c>
      <c r="B15" s="2" t="s">
        <v>98</v>
      </c>
      <c r="C15" s="2" t="s">
        <v>99</v>
      </c>
      <c r="D15" s="1">
        <v>9024432233</v>
      </c>
      <c r="G15" s="4">
        <v>44402</v>
      </c>
    </row>
    <row r="16" spans="1:7">
      <c r="A16" s="1">
        <v>16298</v>
      </c>
      <c r="B16" s="2" t="s">
        <v>100</v>
      </c>
      <c r="C16" s="2" t="s">
        <v>101</v>
      </c>
      <c r="D16" s="1">
        <v>9028853608</v>
      </c>
      <c r="G16" s="4">
        <v>44418</v>
      </c>
    </row>
    <row r="17" spans="1:7">
      <c r="A17" s="1">
        <v>1007</v>
      </c>
      <c r="B17" s="2" t="s">
        <v>102</v>
      </c>
      <c r="C17" s="2" t="s">
        <v>103</v>
      </c>
      <c r="D17" s="1">
        <v>9024431873</v>
      </c>
      <c r="G17" s="4">
        <v>44433</v>
      </c>
    </row>
    <row r="18" spans="1:7">
      <c r="A18" s="1">
        <v>10830</v>
      </c>
      <c r="B18" s="2" t="s">
        <v>104</v>
      </c>
      <c r="C18" s="2" t="s">
        <v>105</v>
      </c>
      <c r="D18" s="1">
        <v>9014032822</v>
      </c>
      <c r="G18" s="4">
        <v>44449</v>
      </c>
    </row>
    <row r="19" spans="1:7">
      <c r="A19" s="1">
        <v>307</v>
      </c>
      <c r="B19" s="2" t="s">
        <v>106</v>
      </c>
      <c r="C19" s="2" t="s">
        <v>107</v>
      </c>
      <c r="D19" s="1">
        <v>9024413187</v>
      </c>
      <c r="G19" s="4">
        <v>44464</v>
      </c>
    </row>
    <row r="20" spans="1:7">
      <c r="A20" s="1">
        <v>619</v>
      </c>
      <c r="B20" s="2" t="s">
        <v>108</v>
      </c>
      <c r="C20" s="2" t="s">
        <v>109</v>
      </c>
      <c r="D20" s="1">
        <v>9024413190</v>
      </c>
      <c r="G20" s="4">
        <v>44479</v>
      </c>
    </row>
    <row r="21" spans="1:7">
      <c r="A21" s="1">
        <v>442</v>
      </c>
      <c r="B21" s="2" t="s">
        <v>110</v>
      </c>
      <c r="C21" s="2" t="s">
        <v>111</v>
      </c>
      <c r="D21" s="1">
        <v>9024413204</v>
      </c>
      <c r="G21" s="4">
        <v>44494</v>
      </c>
    </row>
    <row r="22" spans="1:7">
      <c r="A22" s="1">
        <v>14294</v>
      </c>
      <c r="B22" s="2" t="s">
        <v>112</v>
      </c>
      <c r="C22" s="2" t="s">
        <v>113</v>
      </c>
      <c r="D22" s="1">
        <v>9024413220</v>
      </c>
      <c r="G22" s="4">
        <v>44510</v>
      </c>
    </row>
    <row r="23" spans="1:7">
      <c r="A23" s="1">
        <v>14255</v>
      </c>
      <c r="B23" s="2" t="s">
        <v>114</v>
      </c>
      <c r="C23" s="2" t="s">
        <v>115</v>
      </c>
      <c r="D23" s="1">
        <v>9024413239</v>
      </c>
      <c r="G23" s="4">
        <v>44525</v>
      </c>
    </row>
    <row r="24" spans="1:7">
      <c r="A24" s="1">
        <v>522</v>
      </c>
      <c r="B24" s="2" t="s">
        <v>116</v>
      </c>
      <c r="C24" s="2" t="s">
        <v>117</v>
      </c>
      <c r="D24" s="1">
        <v>9024413298</v>
      </c>
      <c r="G24" s="4">
        <v>44540</v>
      </c>
    </row>
    <row r="25" spans="1:7">
      <c r="A25" s="1">
        <v>14301</v>
      </c>
      <c r="B25" s="2" t="s">
        <v>118</v>
      </c>
      <c r="C25" s="2" t="s">
        <v>119</v>
      </c>
      <c r="D25" s="1">
        <v>9024413301</v>
      </c>
      <c r="G25" s="4">
        <v>44555</v>
      </c>
    </row>
    <row r="26" spans="1:7">
      <c r="A26" s="1">
        <v>14273</v>
      </c>
      <c r="B26" s="2" t="s">
        <v>120</v>
      </c>
      <c r="C26" s="2" t="s">
        <v>121</v>
      </c>
      <c r="D26" s="1">
        <v>9024413352</v>
      </c>
      <c r="G26" s="4">
        <v>44571</v>
      </c>
    </row>
    <row r="27" spans="1:7">
      <c r="A27" s="1">
        <v>929</v>
      </c>
      <c r="B27" s="2" t="s">
        <v>122</v>
      </c>
      <c r="C27" s="2" t="s">
        <v>123</v>
      </c>
      <c r="D27" s="1">
        <v>9024413395</v>
      </c>
      <c r="G27" s="4">
        <v>44586</v>
      </c>
    </row>
    <row r="28" spans="1:7">
      <c r="A28" s="1">
        <v>689</v>
      </c>
      <c r="B28" s="2" t="s">
        <v>124</v>
      </c>
      <c r="C28" s="2" t="s">
        <v>125</v>
      </c>
      <c r="D28" s="1">
        <v>9024413409</v>
      </c>
      <c r="G28" s="4">
        <v>44602</v>
      </c>
    </row>
    <row r="29" spans="1:7">
      <c r="A29" s="1">
        <v>222</v>
      </c>
      <c r="B29" s="2" t="s">
        <v>126</v>
      </c>
      <c r="C29" s="2" t="s">
        <v>127</v>
      </c>
      <c r="D29" s="1">
        <v>9024413425</v>
      </c>
      <c r="G29" s="4">
        <v>44617</v>
      </c>
    </row>
    <row r="30" spans="1:7">
      <c r="A30" s="1">
        <v>14271</v>
      </c>
      <c r="B30" s="2" t="s">
        <v>128</v>
      </c>
      <c r="C30" s="2" t="s">
        <v>129</v>
      </c>
      <c r="D30" s="1">
        <v>9024413433</v>
      </c>
      <c r="G30" s="4">
        <v>44630</v>
      </c>
    </row>
    <row r="31" spans="1:7">
      <c r="A31" s="1">
        <v>289</v>
      </c>
      <c r="B31" s="2" t="s">
        <v>130</v>
      </c>
      <c r="C31" s="2" t="s">
        <v>131</v>
      </c>
      <c r="D31" s="1">
        <v>9024413441</v>
      </c>
      <c r="G31" s="4">
        <v>44645</v>
      </c>
    </row>
    <row r="32" spans="1:7">
      <c r="A32" s="1">
        <v>496</v>
      </c>
      <c r="B32" s="2" t="s">
        <v>132</v>
      </c>
      <c r="C32" s="2" t="s">
        <v>133</v>
      </c>
      <c r="D32" s="1">
        <v>9024413476</v>
      </c>
      <c r="G32" s="4">
        <v>44661</v>
      </c>
    </row>
    <row r="33" spans="1:7">
      <c r="A33" s="1">
        <v>100</v>
      </c>
      <c r="B33" s="2" t="s">
        <v>134</v>
      </c>
      <c r="C33" s="2" t="s">
        <v>135</v>
      </c>
      <c r="D33" s="1">
        <v>9024413484</v>
      </c>
      <c r="G33" s="4">
        <v>44676</v>
      </c>
    </row>
    <row r="34" spans="1:7">
      <c r="A34" s="1">
        <v>707</v>
      </c>
      <c r="B34" s="2" t="s">
        <v>136</v>
      </c>
      <c r="C34" s="2" t="s">
        <v>137</v>
      </c>
      <c r="D34" s="1">
        <v>9024413506</v>
      </c>
      <c r="G34" s="4">
        <v>44691</v>
      </c>
    </row>
    <row r="35" spans="1:7">
      <c r="A35" s="1">
        <v>324</v>
      </c>
      <c r="B35" s="2" t="s">
        <v>138</v>
      </c>
      <c r="C35" s="2" t="s">
        <v>139</v>
      </c>
      <c r="D35" s="1">
        <v>9024413530</v>
      </c>
      <c r="G35" s="4">
        <v>44706</v>
      </c>
    </row>
    <row r="36" spans="1:7">
      <c r="A36" s="1">
        <v>8699</v>
      </c>
      <c r="B36" s="2" t="s">
        <v>140</v>
      </c>
      <c r="C36" s="2" t="s">
        <v>141</v>
      </c>
      <c r="D36" s="1">
        <v>9024413549</v>
      </c>
      <c r="G36" s="4">
        <v>44722</v>
      </c>
    </row>
    <row r="37" spans="1:7">
      <c r="A37" s="1">
        <v>8254</v>
      </c>
      <c r="B37" s="2" t="s">
        <v>142</v>
      </c>
      <c r="C37" s="2" t="s">
        <v>143</v>
      </c>
      <c r="D37" s="1">
        <v>9024413565</v>
      </c>
      <c r="G37" s="4">
        <v>44737</v>
      </c>
    </row>
    <row r="38" spans="1:7">
      <c r="A38" s="1">
        <v>393</v>
      </c>
      <c r="B38" s="2" t="s">
        <v>144</v>
      </c>
      <c r="C38" s="2" t="s">
        <v>145</v>
      </c>
      <c r="D38" s="1">
        <v>9024413603</v>
      </c>
      <c r="G38" s="4">
        <v>44752</v>
      </c>
    </row>
    <row r="39" spans="1:7">
      <c r="A39" s="1">
        <v>890</v>
      </c>
      <c r="B39" s="2" t="s">
        <v>146</v>
      </c>
      <c r="C39" s="2" t="s">
        <v>147</v>
      </c>
      <c r="D39" s="1">
        <v>9024413670</v>
      </c>
      <c r="G39" s="4">
        <v>44767</v>
      </c>
    </row>
    <row r="40" spans="1:7">
      <c r="A40" s="1">
        <v>14274</v>
      </c>
      <c r="B40" s="2" t="s">
        <v>148</v>
      </c>
      <c r="C40" s="2" t="s">
        <v>149</v>
      </c>
      <c r="D40" s="1">
        <v>9024413689</v>
      </c>
      <c r="G40" s="4">
        <v>44783</v>
      </c>
    </row>
    <row r="41" spans="1:7">
      <c r="A41" s="1">
        <v>177</v>
      </c>
      <c r="B41" s="2" t="s">
        <v>150</v>
      </c>
      <c r="C41" s="2" t="s">
        <v>151</v>
      </c>
      <c r="D41" s="1">
        <v>9024413719</v>
      </c>
      <c r="G41" s="4">
        <v>44798</v>
      </c>
    </row>
    <row r="42" spans="1:7">
      <c r="A42" s="1">
        <v>13394</v>
      </c>
      <c r="B42" s="2" t="s">
        <v>152</v>
      </c>
      <c r="C42" s="2" t="s">
        <v>153</v>
      </c>
      <c r="D42" s="1">
        <v>9024413735</v>
      </c>
      <c r="G42" s="4">
        <v>44814</v>
      </c>
    </row>
    <row r="43" spans="1:7">
      <c r="A43" s="1">
        <v>623</v>
      </c>
      <c r="B43" s="2" t="s">
        <v>154</v>
      </c>
      <c r="C43" s="2" t="s">
        <v>155</v>
      </c>
      <c r="D43" s="1">
        <v>9024413743</v>
      </c>
      <c r="G43" s="4">
        <v>44829</v>
      </c>
    </row>
    <row r="44" spans="1:7">
      <c r="A44" s="1">
        <v>7178</v>
      </c>
      <c r="B44" s="2" t="s">
        <v>156</v>
      </c>
      <c r="C44" s="2" t="s">
        <v>157</v>
      </c>
      <c r="D44" s="1">
        <v>9024413751</v>
      </c>
      <c r="G44" s="4">
        <v>44844</v>
      </c>
    </row>
    <row r="45" spans="1:7">
      <c r="A45" s="1">
        <v>14276</v>
      </c>
      <c r="B45" s="2" t="s">
        <v>158</v>
      </c>
      <c r="C45" s="2" t="s">
        <v>159</v>
      </c>
      <c r="D45" s="1">
        <v>9024413778</v>
      </c>
      <c r="G45" s="4">
        <v>44859</v>
      </c>
    </row>
    <row r="46" spans="1:7">
      <c r="A46" s="1">
        <v>407</v>
      </c>
      <c r="B46" s="2" t="s">
        <v>160</v>
      </c>
      <c r="C46" s="2" t="s">
        <v>161</v>
      </c>
      <c r="D46" s="1">
        <v>9024413808</v>
      </c>
      <c r="G46" s="4">
        <v>44875</v>
      </c>
    </row>
    <row r="47" spans="1:7">
      <c r="A47" s="1">
        <v>779</v>
      </c>
      <c r="B47" s="2" t="s">
        <v>162</v>
      </c>
      <c r="C47" s="2" t="s">
        <v>163</v>
      </c>
      <c r="D47" s="1">
        <v>9024413824</v>
      </c>
      <c r="G47" s="4">
        <v>44890</v>
      </c>
    </row>
    <row r="48" spans="1:7">
      <c r="A48" s="1">
        <v>656</v>
      </c>
      <c r="B48" s="2" t="s">
        <v>164</v>
      </c>
      <c r="C48" s="2" t="s">
        <v>165</v>
      </c>
      <c r="D48" s="1">
        <v>9024413859</v>
      </c>
      <c r="G48" s="4">
        <v>44905</v>
      </c>
    </row>
    <row r="49" spans="1:7">
      <c r="A49" s="1">
        <v>1865</v>
      </c>
      <c r="B49" s="2" t="s">
        <v>166</v>
      </c>
      <c r="C49" s="2" t="s">
        <v>167</v>
      </c>
      <c r="D49" s="1">
        <v>9024413883</v>
      </c>
      <c r="G49" s="4">
        <v>44920</v>
      </c>
    </row>
    <row r="50" spans="1:7">
      <c r="A50" s="1">
        <v>13140</v>
      </c>
      <c r="B50" s="2" t="s">
        <v>168</v>
      </c>
      <c r="C50" s="2" t="s">
        <v>169</v>
      </c>
      <c r="D50" s="1">
        <v>9024413905</v>
      </c>
      <c r="G50" s="4">
        <v>44936</v>
      </c>
    </row>
    <row r="51" spans="1:7">
      <c r="A51" s="1">
        <v>588</v>
      </c>
      <c r="B51" s="2" t="s">
        <v>170</v>
      </c>
      <c r="C51" s="2" t="s">
        <v>171</v>
      </c>
      <c r="D51" s="1">
        <v>9024413956</v>
      </c>
      <c r="G51" s="4">
        <v>44951</v>
      </c>
    </row>
    <row r="52" spans="1:7">
      <c r="A52" s="1">
        <v>109</v>
      </c>
      <c r="B52" s="2" t="s">
        <v>172</v>
      </c>
      <c r="C52" s="2" t="s">
        <v>173</v>
      </c>
      <c r="D52" s="1">
        <v>9024414006</v>
      </c>
      <c r="G52" s="4">
        <v>44967</v>
      </c>
    </row>
    <row r="53" spans="1:7">
      <c r="A53" s="1">
        <v>818</v>
      </c>
      <c r="B53" s="2" t="s">
        <v>174</v>
      </c>
      <c r="C53" s="2" t="s">
        <v>175</v>
      </c>
      <c r="D53" s="1">
        <v>9024414014</v>
      </c>
      <c r="G53" s="4">
        <v>44982</v>
      </c>
    </row>
    <row r="54" spans="1:7">
      <c r="A54" s="1">
        <v>3311</v>
      </c>
      <c r="B54" s="2" t="s">
        <v>176</v>
      </c>
      <c r="C54" s="2" t="s">
        <v>177</v>
      </c>
      <c r="D54" s="1">
        <v>9024414065</v>
      </c>
      <c r="G54" s="4">
        <v>44995</v>
      </c>
    </row>
    <row r="55" spans="1:7">
      <c r="A55" s="1">
        <v>14300</v>
      </c>
      <c r="B55" s="2" t="s">
        <v>178</v>
      </c>
      <c r="C55" s="2" t="s">
        <v>179</v>
      </c>
      <c r="D55" s="1">
        <v>9024414103</v>
      </c>
      <c r="G55" s="4">
        <v>45010</v>
      </c>
    </row>
    <row r="56" spans="1:7">
      <c r="A56" s="1">
        <v>8186</v>
      </c>
      <c r="B56" s="2" t="s">
        <v>180</v>
      </c>
      <c r="C56" s="2" t="s">
        <v>181</v>
      </c>
      <c r="D56" s="1">
        <v>9024414189</v>
      </c>
      <c r="G56" s="4">
        <v>45026</v>
      </c>
    </row>
    <row r="57" spans="1:7">
      <c r="A57" s="1">
        <v>7711</v>
      </c>
      <c r="B57" s="2" t="s">
        <v>182</v>
      </c>
      <c r="C57" s="2" t="s">
        <v>183</v>
      </c>
      <c r="D57" s="1">
        <v>9024414197</v>
      </c>
      <c r="G57" s="4">
        <v>45041</v>
      </c>
    </row>
    <row r="58" spans="1:7">
      <c r="A58" s="1">
        <v>523</v>
      </c>
      <c r="B58" s="2" t="s">
        <v>184</v>
      </c>
      <c r="C58" s="2" t="s">
        <v>185</v>
      </c>
      <c r="D58" s="1">
        <v>9024414200</v>
      </c>
      <c r="G58" s="4">
        <v>45056</v>
      </c>
    </row>
    <row r="59" spans="1:7">
      <c r="A59" s="1">
        <v>8265</v>
      </c>
      <c r="B59" s="2" t="s">
        <v>186</v>
      </c>
      <c r="C59" s="2" t="s">
        <v>187</v>
      </c>
      <c r="D59" s="1">
        <v>9024414251</v>
      </c>
      <c r="G59" s="4">
        <v>45071</v>
      </c>
    </row>
    <row r="60" spans="1:7">
      <c r="A60" s="1">
        <v>7247</v>
      </c>
      <c r="B60" s="2" t="s">
        <v>188</v>
      </c>
      <c r="C60" s="2" t="s">
        <v>189</v>
      </c>
      <c r="D60" s="1">
        <v>9024414278</v>
      </c>
      <c r="G60" s="4">
        <v>45087</v>
      </c>
    </row>
    <row r="61" spans="1:7">
      <c r="A61" s="1">
        <v>6838</v>
      </c>
      <c r="B61" s="2" t="s">
        <v>190</v>
      </c>
      <c r="C61" s="2" t="s">
        <v>191</v>
      </c>
      <c r="D61" s="1">
        <v>9024414308</v>
      </c>
      <c r="G61" s="4">
        <v>45102</v>
      </c>
    </row>
    <row r="62" spans="1:7">
      <c r="A62" s="1">
        <v>23</v>
      </c>
      <c r="B62" s="2" t="s">
        <v>192</v>
      </c>
      <c r="C62" s="2" t="s">
        <v>193</v>
      </c>
      <c r="D62" s="1">
        <v>9024414316</v>
      </c>
      <c r="G62" s="4">
        <v>45117</v>
      </c>
    </row>
    <row r="63" spans="1:7">
      <c r="A63" s="1">
        <v>477</v>
      </c>
      <c r="B63" s="2" t="s">
        <v>194</v>
      </c>
      <c r="C63" s="2" t="s">
        <v>195</v>
      </c>
      <c r="D63" s="1">
        <v>9024414367</v>
      </c>
      <c r="G63" s="4">
        <v>45132</v>
      </c>
    </row>
    <row r="64" spans="1:7">
      <c r="A64" s="1">
        <v>621</v>
      </c>
      <c r="B64" s="2" t="s">
        <v>196</v>
      </c>
      <c r="C64" s="2" t="s">
        <v>197</v>
      </c>
      <c r="D64" s="1">
        <v>9024414375</v>
      </c>
      <c r="G64" s="4">
        <v>45148</v>
      </c>
    </row>
    <row r="65" spans="1:7">
      <c r="A65" s="1">
        <v>756</v>
      </c>
      <c r="B65" s="2" t="s">
        <v>198</v>
      </c>
      <c r="C65" s="2" t="s">
        <v>199</v>
      </c>
      <c r="D65" s="1">
        <v>9024414391</v>
      </c>
      <c r="G65" s="4">
        <v>45163</v>
      </c>
    </row>
    <row r="66" spans="1:7">
      <c r="A66" s="1">
        <v>305</v>
      </c>
      <c r="B66" s="2" t="s">
        <v>200</v>
      </c>
      <c r="C66" s="2" t="s">
        <v>201</v>
      </c>
      <c r="D66" s="1">
        <v>9024414413</v>
      </c>
      <c r="G66" s="4">
        <v>45179</v>
      </c>
    </row>
    <row r="67" spans="1:7">
      <c r="A67" s="1">
        <v>14321</v>
      </c>
      <c r="B67" s="2" t="s">
        <v>202</v>
      </c>
      <c r="C67" s="2" t="s">
        <v>203</v>
      </c>
      <c r="D67" s="1">
        <v>9024414421</v>
      </c>
      <c r="G67" s="4">
        <v>45194</v>
      </c>
    </row>
    <row r="68" spans="1:7">
      <c r="A68" s="1">
        <v>12093</v>
      </c>
      <c r="B68" s="2" t="s">
        <v>204</v>
      </c>
      <c r="C68" s="2" t="s">
        <v>205</v>
      </c>
      <c r="D68" s="1">
        <v>9024414456</v>
      </c>
      <c r="G68" s="4">
        <v>45209</v>
      </c>
    </row>
    <row r="69" spans="1:7">
      <c r="A69" s="1">
        <v>350</v>
      </c>
      <c r="B69" s="2" t="s">
        <v>206</v>
      </c>
      <c r="C69" s="2" t="s">
        <v>207</v>
      </c>
      <c r="D69" s="1">
        <v>9024414472</v>
      </c>
      <c r="G69" s="4">
        <v>45224</v>
      </c>
    </row>
    <row r="70" spans="1:7">
      <c r="A70" s="1">
        <v>9778</v>
      </c>
      <c r="B70" s="2" t="s">
        <v>208</v>
      </c>
      <c r="C70" s="2" t="s">
        <v>209</v>
      </c>
      <c r="D70" s="1">
        <v>9024414499</v>
      </c>
      <c r="G70" s="4">
        <v>45240</v>
      </c>
    </row>
    <row r="71" spans="1:7">
      <c r="A71" s="1">
        <v>3222</v>
      </c>
      <c r="B71" s="2" t="s">
        <v>210</v>
      </c>
      <c r="C71" s="2" t="s">
        <v>211</v>
      </c>
      <c r="D71" s="1">
        <v>9024414502</v>
      </c>
      <c r="G71" s="4">
        <v>45255</v>
      </c>
    </row>
    <row r="72" spans="1:7">
      <c r="A72" s="1">
        <v>14436</v>
      </c>
      <c r="B72" s="2" t="s">
        <v>212</v>
      </c>
      <c r="C72" s="2" t="s">
        <v>213</v>
      </c>
      <c r="D72" s="1">
        <v>9024414510</v>
      </c>
      <c r="G72" s="4">
        <v>45270</v>
      </c>
    </row>
    <row r="73" spans="1:7">
      <c r="A73" s="1">
        <v>22</v>
      </c>
      <c r="B73" s="2" t="s">
        <v>214</v>
      </c>
      <c r="C73" s="2" t="s">
        <v>215</v>
      </c>
      <c r="D73" s="1">
        <v>9024414529</v>
      </c>
      <c r="G73" s="4">
        <v>45285</v>
      </c>
    </row>
    <row r="74" spans="1:7">
      <c r="A74" s="1">
        <v>790</v>
      </c>
      <c r="B74" s="2" t="s">
        <v>216</v>
      </c>
      <c r="C74" s="2" t="s">
        <v>217</v>
      </c>
      <c r="D74" s="1">
        <v>9024414537</v>
      </c>
      <c r="G74" s="4">
        <v>45301</v>
      </c>
    </row>
    <row r="75" spans="1:7">
      <c r="A75" s="1">
        <v>8882</v>
      </c>
      <c r="B75" s="2" t="s">
        <v>218</v>
      </c>
      <c r="C75" s="2" t="s">
        <v>219</v>
      </c>
      <c r="D75" s="1">
        <v>9024414545</v>
      </c>
      <c r="G75" s="4">
        <v>45316</v>
      </c>
    </row>
    <row r="76" spans="1:7">
      <c r="A76" s="1">
        <v>335</v>
      </c>
      <c r="B76" s="2" t="s">
        <v>220</v>
      </c>
      <c r="C76" s="2" t="s">
        <v>221</v>
      </c>
      <c r="D76" s="1">
        <v>9024414553</v>
      </c>
      <c r="G76" s="4">
        <v>45332</v>
      </c>
    </row>
    <row r="77" spans="1:7">
      <c r="A77" s="1">
        <v>139</v>
      </c>
      <c r="B77" s="2" t="s">
        <v>222</v>
      </c>
      <c r="C77" s="2" t="s">
        <v>223</v>
      </c>
      <c r="D77" s="1">
        <v>9024414561</v>
      </c>
      <c r="G77" s="4">
        <v>45347</v>
      </c>
    </row>
    <row r="78" spans="1:7">
      <c r="A78" s="1">
        <v>799</v>
      </c>
      <c r="B78" s="2" t="s">
        <v>224</v>
      </c>
      <c r="C78" s="2" t="s">
        <v>225</v>
      </c>
      <c r="D78" s="1">
        <v>9024414596</v>
      </c>
      <c r="G78" s="4">
        <v>45361</v>
      </c>
    </row>
    <row r="79" spans="1:7">
      <c r="A79" s="1">
        <v>784</v>
      </c>
      <c r="B79" s="2" t="s">
        <v>226</v>
      </c>
      <c r="C79" s="2" t="s">
        <v>227</v>
      </c>
      <c r="D79" s="1">
        <v>9024414618</v>
      </c>
      <c r="G79" s="4">
        <v>45376</v>
      </c>
    </row>
    <row r="80" spans="1:7">
      <c r="A80" s="1">
        <v>14302</v>
      </c>
      <c r="B80" s="2" t="s">
        <v>228</v>
      </c>
      <c r="C80" s="2" t="s">
        <v>229</v>
      </c>
      <c r="D80" s="1">
        <v>9024414634</v>
      </c>
      <c r="G80" s="4">
        <v>45392</v>
      </c>
    </row>
    <row r="81" spans="1:7">
      <c r="A81" s="1">
        <v>792</v>
      </c>
      <c r="B81" s="2" t="s">
        <v>230</v>
      </c>
      <c r="C81" s="2" t="s">
        <v>231</v>
      </c>
      <c r="D81" s="1">
        <v>9024414650</v>
      </c>
      <c r="G81" s="4">
        <v>45407</v>
      </c>
    </row>
    <row r="82" spans="1:7">
      <c r="A82" s="1">
        <v>3569</v>
      </c>
      <c r="B82" s="2" t="s">
        <v>232</v>
      </c>
      <c r="C82" s="2" t="s">
        <v>233</v>
      </c>
      <c r="D82" s="1">
        <v>9024414693</v>
      </c>
      <c r="G82" s="4">
        <v>45422</v>
      </c>
    </row>
    <row r="83" spans="1:7">
      <c r="A83" s="1">
        <v>14268</v>
      </c>
      <c r="B83" s="2" t="s">
        <v>234</v>
      </c>
      <c r="C83" s="2" t="s">
        <v>235</v>
      </c>
      <c r="D83" s="1">
        <v>9024414707</v>
      </c>
      <c r="G83" s="4">
        <v>45437</v>
      </c>
    </row>
    <row r="84" spans="1:7">
      <c r="A84" s="1">
        <v>83</v>
      </c>
      <c r="B84" s="2" t="s">
        <v>236</v>
      </c>
      <c r="C84" s="2" t="s">
        <v>237</v>
      </c>
      <c r="D84" s="1">
        <v>9024414723</v>
      </c>
      <c r="G84" s="4">
        <v>45453</v>
      </c>
    </row>
    <row r="85" spans="1:7">
      <c r="A85" s="1">
        <v>637</v>
      </c>
      <c r="B85" s="2" t="s">
        <v>238</v>
      </c>
      <c r="C85" s="2" t="s">
        <v>239</v>
      </c>
      <c r="D85" s="1">
        <v>9024414758</v>
      </c>
      <c r="G85" s="4">
        <v>45468</v>
      </c>
    </row>
    <row r="86" spans="1:7">
      <c r="A86" s="1">
        <v>723</v>
      </c>
      <c r="B86" s="2" t="s">
        <v>240</v>
      </c>
      <c r="C86" s="2" t="s">
        <v>241</v>
      </c>
      <c r="D86" s="1">
        <v>9024414774</v>
      </c>
      <c r="G86" s="4">
        <v>45483</v>
      </c>
    </row>
    <row r="87" spans="1:7">
      <c r="A87" s="1">
        <v>319</v>
      </c>
      <c r="B87" s="2" t="s">
        <v>242</v>
      </c>
      <c r="C87" s="2" t="s">
        <v>243</v>
      </c>
      <c r="D87" s="1">
        <v>9024414839</v>
      </c>
      <c r="G87" s="4">
        <v>45498</v>
      </c>
    </row>
    <row r="88" spans="1:7">
      <c r="A88" s="1">
        <v>14322</v>
      </c>
      <c r="B88" s="2" t="s">
        <v>244</v>
      </c>
      <c r="C88" s="2" t="s">
        <v>245</v>
      </c>
      <c r="D88" s="1">
        <v>9024414847</v>
      </c>
      <c r="G88" s="4">
        <v>45514</v>
      </c>
    </row>
    <row r="89" spans="1:7">
      <c r="A89" s="1">
        <v>518</v>
      </c>
      <c r="B89" s="2" t="s">
        <v>246</v>
      </c>
      <c r="C89" s="2" t="s">
        <v>247</v>
      </c>
      <c r="D89" s="1">
        <v>9024414863</v>
      </c>
      <c r="G89" s="4">
        <v>45529</v>
      </c>
    </row>
    <row r="90" spans="1:7">
      <c r="A90" s="1">
        <v>354</v>
      </c>
      <c r="B90" s="2" t="s">
        <v>248</v>
      </c>
      <c r="C90" s="2" t="s">
        <v>249</v>
      </c>
      <c r="D90" s="1">
        <v>9024414871</v>
      </c>
      <c r="G90" s="4">
        <v>45545</v>
      </c>
    </row>
    <row r="91" spans="1:7">
      <c r="A91" s="1">
        <v>13888</v>
      </c>
      <c r="B91" s="2" t="s">
        <v>250</v>
      </c>
      <c r="C91" s="2" t="s">
        <v>251</v>
      </c>
      <c r="D91" s="1">
        <v>9024414898</v>
      </c>
      <c r="G91" s="4">
        <v>45560</v>
      </c>
    </row>
    <row r="92" spans="1:7">
      <c r="A92" s="1">
        <v>780</v>
      </c>
      <c r="B92" s="2" t="s">
        <v>252</v>
      </c>
      <c r="C92" s="2" t="s">
        <v>253</v>
      </c>
      <c r="D92" s="1">
        <v>9024414952</v>
      </c>
      <c r="G92" s="4">
        <v>45575</v>
      </c>
    </row>
    <row r="93" spans="1:7">
      <c r="A93" s="1">
        <v>30</v>
      </c>
      <c r="B93" s="2" t="s">
        <v>254</v>
      </c>
      <c r="C93" s="2" t="s">
        <v>255</v>
      </c>
      <c r="D93" s="1">
        <v>9024414995</v>
      </c>
      <c r="G93" s="4">
        <v>45590</v>
      </c>
    </row>
    <row r="94" spans="1:7">
      <c r="A94" s="1">
        <v>13498</v>
      </c>
      <c r="B94" s="2" t="s">
        <v>256</v>
      </c>
      <c r="C94" s="2" t="s">
        <v>257</v>
      </c>
      <c r="D94" s="1">
        <v>9024415029</v>
      </c>
      <c r="G94" s="4">
        <v>45606</v>
      </c>
    </row>
    <row r="95" spans="1:7">
      <c r="A95" s="1">
        <v>14275</v>
      </c>
      <c r="B95" s="2" t="s">
        <v>258</v>
      </c>
      <c r="C95" s="2" t="s">
        <v>259</v>
      </c>
      <c r="D95" s="1">
        <v>9024415037</v>
      </c>
      <c r="G95" s="4">
        <v>45621</v>
      </c>
    </row>
    <row r="96" spans="1:7">
      <c r="A96" s="1">
        <v>8407</v>
      </c>
      <c r="B96" s="2" t="s">
        <v>260</v>
      </c>
      <c r="C96" s="2" t="s">
        <v>261</v>
      </c>
      <c r="D96" s="1">
        <v>9024430826</v>
      </c>
      <c r="G96" s="4">
        <v>45636</v>
      </c>
    </row>
    <row r="97" spans="1:7">
      <c r="A97" s="1">
        <v>285</v>
      </c>
      <c r="B97" s="2" t="s">
        <v>262</v>
      </c>
      <c r="C97" s="2" t="s">
        <v>263</v>
      </c>
      <c r="D97" s="1">
        <v>9024430850</v>
      </c>
      <c r="G97" s="4">
        <v>45651</v>
      </c>
    </row>
    <row r="98" spans="1:7">
      <c r="A98" s="1">
        <v>14278</v>
      </c>
      <c r="B98" s="2" t="s">
        <v>264</v>
      </c>
      <c r="C98" s="2" t="s">
        <v>265</v>
      </c>
      <c r="D98" s="1">
        <v>9024430869</v>
      </c>
      <c r="G98" s="4">
        <v>45667</v>
      </c>
    </row>
    <row r="99" spans="1:7">
      <c r="A99" s="1">
        <v>9846</v>
      </c>
      <c r="B99" s="2" t="s">
        <v>266</v>
      </c>
      <c r="C99" s="2" t="s">
        <v>267</v>
      </c>
      <c r="D99" s="1">
        <v>9024430893</v>
      </c>
      <c r="G99" s="4">
        <v>45682</v>
      </c>
    </row>
    <row r="100" spans="1:7">
      <c r="A100" s="1">
        <v>937</v>
      </c>
      <c r="B100" s="2" t="s">
        <v>268</v>
      </c>
      <c r="C100" s="2" t="s">
        <v>269</v>
      </c>
      <c r="D100" s="1">
        <v>9024430907</v>
      </c>
      <c r="G100" s="4">
        <v>45698</v>
      </c>
    </row>
    <row r="101" spans="1:7">
      <c r="A101" s="1">
        <v>14264</v>
      </c>
      <c r="B101" s="2" t="s">
        <v>270</v>
      </c>
      <c r="C101" s="2" t="s">
        <v>271</v>
      </c>
      <c r="D101" s="1">
        <v>9024430923</v>
      </c>
      <c r="G101" s="4">
        <v>45713</v>
      </c>
    </row>
    <row r="102" spans="1:7">
      <c r="A102" s="1">
        <v>258</v>
      </c>
      <c r="B102" s="2" t="s">
        <v>272</v>
      </c>
      <c r="C102" s="2" t="s">
        <v>273</v>
      </c>
      <c r="D102" s="1">
        <v>9024430931</v>
      </c>
      <c r="G102" s="4">
        <v>45726</v>
      </c>
    </row>
    <row r="103" spans="1:7">
      <c r="A103" s="1">
        <v>805</v>
      </c>
      <c r="B103" s="2" t="s">
        <v>274</v>
      </c>
      <c r="C103" s="2" t="s">
        <v>275</v>
      </c>
      <c r="D103" s="1">
        <v>9024430958</v>
      </c>
      <c r="G103" s="4">
        <v>45741</v>
      </c>
    </row>
    <row r="104" spans="1:7">
      <c r="A104" s="1">
        <v>13289</v>
      </c>
      <c r="B104" s="2" t="s">
        <v>276</v>
      </c>
      <c r="C104" s="2" t="s">
        <v>277</v>
      </c>
      <c r="D104" s="1">
        <v>9024430966</v>
      </c>
      <c r="G104" s="4">
        <v>45757</v>
      </c>
    </row>
    <row r="105" spans="1:7">
      <c r="A105" s="1">
        <v>1386</v>
      </c>
      <c r="B105" s="2" t="s">
        <v>278</v>
      </c>
      <c r="C105" s="2" t="s">
        <v>279</v>
      </c>
      <c r="D105" s="1">
        <v>9024430974</v>
      </c>
      <c r="G105" s="4">
        <v>45772</v>
      </c>
    </row>
    <row r="106" spans="1:7">
      <c r="A106" s="1">
        <v>12053</v>
      </c>
      <c r="B106" s="2" t="s">
        <v>280</v>
      </c>
      <c r="C106" s="2" t="s">
        <v>281</v>
      </c>
      <c r="D106" s="1">
        <v>9024430982</v>
      </c>
      <c r="G106" s="4">
        <v>45787</v>
      </c>
    </row>
    <row r="107" spans="1:7">
      <c r="A107" s="1">
        <v>64</v>
      </c>
      <c r="B107" s="2" t="s">
        <v>282</v>
      </c>
      <c r="C107" s="2" t="s">
        <v>283</v>
      </c>
      <c r="D107" s="1">
        <v>9024431016</v>
      </c>
      <c r="F107" s="6">
        <v>1</v>
      </c>
      <c r="G107" s="4">
        <v>45802</v>
      </c>
    </row>
    <row r="108" spans="1:7">
      <c r="A108" s="1">
        <v>537</v>
      </c>
      <c r="B108" s="2" t="s">
        <v>284</v>
      </c>
      <c r="C108" s="2" t="s">
        <v>285</v>
      </c>
      <c r="D108" s="1">
        <v>9024431032</v>
      </c>
      <c r="F108" s="6">
        <v>2</v>
      </c>
      <c r="G108" s="4">
        <v>45818</v>
      </c>
    </row>
    <row r="109" spans="1:7">
      <c r="A109" s="1">
        <v>7688</v>
      </c>
      <c r="B109" s="2" t="s">
        <v>286</v>
      </c>
      <c r="C109" s="2" t="s">
        <v>287</v>
      </c>
      <c r="D109" s="1">
        <v>9024431040</v>
      </c>
      <c r="F109" s="6">
        <v>3</v>
      </c>
      <c r="G109" s="4">
        <v>45833</v>
      </c>
    </row>
    <row r="110" spans="1:7">
      <c r="A110" s="1">
        <v>256</v>
      </c>
      <c r="B110" s="2" t="s">
        <v>288</v>
      </c>
      <c r="C110" s="2" t="s">
        <v>289</v>
      </c>
      <c r="D110" s="1">
        <v>9024431075</v>
      </c>
      <c r="F110" s="6">
        <v>4</v>
      </c>
      <c r="G110" s="4">
        <v>45848</v>
      </c>
    </row>
    <row r="111" spans="1:7">
      <c r="A111" s="1">
        <v>544</v>
      </c>
      <c r="B111" s="2" t="s">
        <v>290</v>
      </c>
      <c r="C111" s="2" t="s">
        <v>291</v>
      </c>
      <c r="D111" s="1">
        <v>9024431083</v>
      </c>
      <c r="F111" s="6">
        <v>5</v>
      </c>
      <c r="G111" s="4">
        <v>45863</v>
      </c>
    </row>
    <row r="112" spans="1:7">
      <c r="A112" s="1">
        <v>14347</v>
      </c>
      <c r="B112" s="2" t="s">
        <v>292</v>
      </c>
      <c r="C112" s="2" t="s">
        <v>293</v>
      </c>
      <c r="D112" s="1">
        <v>9024431105</v>
      </c>
      <c r="F112" s="6">
        <v>6</v>
      </c>
      <c r="G112" s="4">
        <v>45879</v>
      </c>
    </row>
    <row r="113" spans="1:7">
      <c r="A113" s="1">
        <v>14265</v>
      </c>
      <c r="B113" s="2" t="s">
        <v>294</v>
      </c>
      <c r="C113" s="2" t="s">
        <v>295</v>
      </c>
      <c r="D113" s="1">
        <v>9024431113</v>
      </c>
      <c r="F113" s="6">
        <v>7</v>
      </c>
      <c r="G113" s="4">
        <v>45894</v>
      </c>
    </row>
    <row r="114" spans="1:7">
      <c r="A114" s="1">
        <v>716</v>
      </c>
      <c r="B114" s="2" t="s">
        <v>296</v>
      </c>
      <c r="C114" s="2" t="s">
        <v>297</v>
      </c>
      <c r="D114" s="1">
        <v>9024431164</v>
      </c>
      <c r="F114" s="6">
        <v>8</v>
      </c>
      <c r="G114" s="4">
        <v>45910</v>
      </c>
    </row>
    <row r="115" spans="1:7">
      <c r="A115" s="1">
        <v>797</v>
      </c>
      <c r="B115" s="2" t="s">
        <v>298</v>
      </c>
      <c r="C115" s="2" t="s">
        <v>299</v>
      </c>
      <c r="D115" s="1">
        <v>9024431237</v>
      </c>
      <c r="F115" s="6">
        <v>9</v>
      </c>
      <c r="G115" s="4">
        <v>45925</v>
      </c>
    </row>
    <row r="116" spans="1:7">
      <c r="A116" s="1">
        <v>877</v>
      </c>
      <c r="B116" s="2" t="s">
        <v>300</v>
      </c>
      <c r="C116" s="2" t="s">
        <v>301</v>
      </c>
      <c r="D116" s="1">
        <v>9024431245</v>
      </c>
      <c r="F116" s="6">
        <v>10</v>
      </c>
      <c r="G116" s="4">
        <v>45940</v>
      </c>
    </row>
    <row r="117" spans="1:7">
      <c r="A117" s="1">
        <v>894</v>
      </c>
      <c r="B117" s="2" t="s">
        <v>302</v>
      </c>
      <c r="C117" s="2" t="s">
        <v>303</v>
      </c>
      <c r="D117" s="1">
        <v>9024431261</v>
      </c>
      <c r="F117" s="6">
        <v>11</v>
      </c>
      <c r="G117" s="4">
        <v>45955</v>
      </c>
    </row>
    <row r="118" spans="1:7">
      <c r="A118" s="1">
        <v>114</v>
      </c>
      <c r="B118" s="2" t="s">
        <v>304</v>
      </c>
      <c r="C118" s="2" t="s">
        <v>305</v>
      </c>
      <c r="D118" s="1">
        <v>9024431296</v>
      </c>
      <c r="F118" s="6">
        <v>12</v>
      </c>
      <c r="G118" s="4">
        <v>45971</v>
      </c>
    </row>
    <row r="119" spans="1:7">
      <c r="A119" s="1">
        <v>481</v>
      </c>
      <c r="B119" s="2" t="s">
        <v>306</v>
      </c>
      <c r="C119" s="2" t="s">
        <v>307</v>
      </c>
      <c r="D119" s="1">
        <v>9024431318</v>
      </c>
      <c r="F119" s="6">
        <v>13</v>
      </c>
      <c r="G119" s="4">
        <v>45986</v>
      </c>
    </row>
    <row r="120" spans="1:7">
      <c r="A120" s="1">
        <v>9952</v>
      </c>
      <c r="B120" s="2" t="s">
        <v>308</v>
      </c>
      <c r="C120" s="2" t="s">
        <v>309</v>
      </c>
      <c r="D120" s="1">
        <v>9024431423</v>
      </c>
      <c r="F120" s="6">
        <v>14</v>
      </c>
      <c r="G120" s="4">
        <v>46001</v>
      </c>
    </row>
    <row r="121" spans="1:7">
      <c r="A121" s="1">
        <v>1179</v>
      </c>
      <c r="B121" s="2" t="s">
        <v>310</v>
      </c>
      <c r="C121" s="2" t="s">
        <v>311</v>
      </c>
      <c r="D121" s="1">
        <v>9024431431</v>
      </c>
      <c r="F121" s="6">
        <v>15</v>
      </c>
      <c r="G121" s="4">
        <v>46016</v>
      </c>
    </row>
    <row r="122" spans="1:7">
      <c r="A122" s="1">
        <v>7264</v>
      </c>
      <c r="B122" s="2" t="s">
        <v>312</v>
      </c>
      <c r="C122" s="2" t="s">
        <v>313</v>
      </c>
      <c r="D122" s="1">
        <v>9024431458</v>
      </c>
      <c r="F122" s="6">
        <v>16</v>
      </c>
      <c r="G122" s="4">
        <v>46032</v>
      </c>
    </row>
    <row r="123" spans="1:7">
      <c r="A123" s="1">
        <v>13295</v>
      </c>
      <c r="B123" s="2" t="s">
        <v>314</v>
      </c>
      <c r="C123" s="2" t="s">
        <v>315</v>
      </c>
      <c r="D123" s="1">
        <v>9024431466</v>
      </c>
      <c r="F123" s="6">
        <v>17</v>
      </c>
      <c r="G123" s="4">
        <v>46047</v>
      </c>
    </row>
    <row r="124" spans="1:7">
      <c r="A124" s="1">
        <v>404</v>
      </c>
      <c r="B124" s="2" t="s">
        <v>316</v>
      </c>
      <c r="C124" s="2" t="s">
        <v>317</v>
      </c>
      <c r="D124" s="1">
        <v>9024431474</v>
      </c>
      <c r="F124" s="6">
        <v>18</v>
      </c>
      <c r="G124" s="4">
        <v>46063</v>
      </c>
    </row>
    <row r="125" spans="1:7">
      <c r="A125" s="1">
        <v>14266</v>
      </c>
      <c r="B125" s="2" t="s">
        <v>318</v>
      </c>
      <c r="C125" s="2" t="s">
        <v>319</v>
      </c>
      <c r="D125" s="1">
        <v>9024431504</v>
      </c>
      <c r="F125" s="6">
        <v>19</v>
      </c>
      <c r="G125" s="4">
        <v>46078</v>
      </c>
    </row>
    <row r="126" spans="1:7">
      <c r="A126" s="1">
        <v>10561</v>
      </c>
      <c r="B126" s="2" t="s">
        <v>320</v>
      </c>
      <c r="C126" s="2" t="s">
        <v>321</v>
      </c>
      <c r="D126" s="1">
        <v>9024431512</v>
      </c>
      <c r="F126" s="6">
        <v>20</v>
      </c>
      <c r="G126" s="4">
        <v>46091</v>
      </c>
    </row>
    <row r="127" spans="1:7">
      <c r="A127" s="1">
        <v>14277</v>
      </c>
      <c r="B127" s="2" t="s">
        <v>322</v>
      </c>
      <c r="C127" s="2" t="s">
        <v>323</v>
      </c>
      <c r="D127" s="1">
        <v>9024431520</v>
      </c>
      <c r="F127" s="6">
        <v>21</v>
      </c>
      <c r="G127" s="4">
        <v>46106</v>
      </c>
    </row>
    <row r="128" spans="1:7">
      <c r="A128" s="1">
        <v>13447</v>
      </c>
      <c r="B128" s="2" t="s">
        <v>324</v>
      </c>
      <c r="C128" s="2" t="s">
        <v>325</v>
      </c>
      <c r="D128" s="1">
        <v>9024431571</v>
      </c>
      <c r="F128" s="6">
        <v>22</v>
      </c>
      <c r="G128" s="4">
        <v>46122</v>
      </c>
    </row>
    <row r="129" spans="1:7">
      <c r="A129" s="1">
        <v>899</v>
      </c>
      <c r="B129" s="2" t="s">
        <v>326</v>
      </c>
      <c r="C129" s="2" t="s">
        <v>327</v>
      </c>
      <c r="D129" s="1">
        <v>9024431636</v>
      </c>
      <c r="F129" s="6">
        <v>23</v>
      </c>
      <c r="G129" s="4">
        <v>46137</v>
      </c>
    </row>
    <row r="130" spans="1:7">
      <c r="A130" s="1">
        <v>1373</v>
      </c>
      <c r="B130" s="2" t="s">
        <v>328</v>
      </c>
      <c r="C130" s="2" t="s">
        <v>329</v>
      </c>
      <c r="D130" s="1">
        <v>9024431644</v>
      </c>
      <c r="F130" s="6">
        <v>24</v>
      </c>
      <c r="G130" s="4">
        <v>46152</v>
      </c>
    </row>
    <row r="131" spans="1:7">
      <c r="A131" s="1">
        <v>1147</v>
      </c>
      <c r="B131" s="2" t="s">
        <v>330</v>
      </c>
      <c r="C131" s="2" t="s">
        <v>331</v>
      </c>
      <c r="D131" s="1">
        <v>9024431660</v>
      </c>
      <c r="F131" s="6">
        <v>25</v>
      </c>
      <c r="G131" s="4">
        <v>46167</v>
      </c>
    </row>
    <row r="132" spans="1:7">
      <c r="A132" s="1">
        <v>337</v>
      </c>
      <c r="B132" s="2" t="s">
        <v>332</v>
      </c>
      <c r="C132" s="2" t="s">
        <v>333</v>
      </c>
      <c r="D132" s="1">
        <v>9024431679</v>
      </c>
      <c r="F132" s="6">
        <v>26</v>
      </c>
      <c r="G132" s="4">
        <v>46183</v>
      </c>
    </row>
    <row r="133" spans="1:7">
      <c r="A133" s="1">
        <v>720</v>
      </c>
      <c r="B133" s="2" t="s">
        <v>334</v>
      </c>
      <c r="C133" s="2" t="s">
        <v>335</v>
      </c>
      <c r="D133" s="1">
        <v>9024431717</v>
      </c>
      <c r="F133" s="6">
        <v>27</v>
      </c>
      <c r="G133" s="4">
        <v>46198</v>
      </c>
    </row>
    <row r="134" spans="1:7">
      <c r="A134" s="1">
        <v>12149</v>
      </c>
      <c r="B134" s="2" t="s">
        <v>336</v>
      </c>
      <c r="C134" s="2" t="s">
        <v>337</v>
      </c>
      <c r="D134" s="1">
        <v>9024431725</v>
      </c>
      <c r="F134" s="6">
        <v>28</v>
      </c>
      <c r="G134" s="4">
        <v>46213</v>
      </c>
    </row>
    <row r="135" spans="1:7">
      <c r="A135" s="1">
        <v>665</v>
      </c>
      <c r="B135" s="2" t="s">
        <v>338</v>
      </c>
      <c r="C135" s="2" t="s">
        <v>339</v>
      </c>
      <c r="D135" s="1">
        <v>9024431741</v>
      </c>
      <c r="F135" s="6">
        <v>29</v>
      </c>
      <c r="G135" s="4">
        <v>46228</v>
      </c>
    </row>
    <row r="136" spans="1:7">
      <c r="A136" s="1">
        <v>10212</v>
      </c>
      <c r="B136" s="2" t="s">
        <v>340</v>
      </c>
      <c r="C136" s="2" t="s">
        <v>341</v>
      </c>
      <c r="D136" s="1">
        <v>9024431776</v>
      </c>
      <c r="F136" s="6">
        <v>30</v>
      </c>
      <c r="G136" s="4">
        <v>46244</v>
      </c>
    </row>
    <row r="137" spans="1:7">
      <c r="A137" s="1">
        <v>10938</v>
      </c>
      <c r="B137" s="2" t="s">
        <v>342</v>
      </c>
      <c r="C137" s="2" t="s">
        <v>343</v>
      </c>
      <c r="D137" s="1">
        <v>9024431784</v>
      </c>
      <c r="F137" s="6">
        <v>31</v>
      </c>
      <c r="G137" s="4">
        <v>46259</v>
      </c>
    </row>
    <row r="138" spans="1:7">
      <c r="A138" s="1">
        <v>1212</v>
      </c>
      <c r="B138" s="2" t="s">
        <v>344</v>
      </c>
      <c r="C138" s="2" t="s">
        <v>345</v>
      </c>
      <c r="D138" s="1">
        <v>9024431806</v>
      </c>
      <c r="F138" s="6">
        <v>32</v>
      </c>
      <c r="G138" s="4">
        <v>46275</v>
      </c>
    </row>
    <row r="139" spans="1:7">
      <c r="A139" s="1">
        <v>203</v>
      </c>
      <c r="B139" s="2" t="s">
        <v>346</v>
      </c>
      <c r="C139" s="2" t="s">
        <v>347</v>
      </c>
      <c r="D139" s="1">
        <v>9024431814</v>
      </c>
      <c r="F139" s="6">
        <v>33</v>
      </c>
      <c r="G139" s="4">
        <v>46290</v>
      </c>
    </row>
    <row r="140" spans="1:7">
      <c r="A140" s="1">
        <v>613</v>
      </c>
      <c r="B140" s="2" t="s">
        <v>348</v>
      </c>
      <c r="C140" s="2" t="s">
        <v>349</v>
      </c>
      <c r="D140" s="1">
        <v>9024431830</v>
      </c>
      <c r="F140" s="6">
        <v>34</v>
      </c>
      <c r="G140" s="4">
        <v>46305</v>
      </c>
    </row>
    <row r="141" spans="1:7">
      <c r="A141" s="1">
        <v>1007</v>
      </c>
      <c r="B141" s="2" t="s">
        <v>350</v>
      </c>
      <c r="C141" s="2" t="s">
        <v>351</v>
      </c>
      <c r="D141" s="1">
        <v>9024431873</v>
      </c>
      <c r="F141" s="6">
        <v>35</v>
      </c>
      <c r="G141" s="4">
        <v>46320</v>
      </c>
    </row>
    <row r="142" spans="1:7">
      <c r="A142" s="1">
        <v>14269</v>
      </c>
      <c r="B142" s="2" t="s">
        <v>352</v>
      </c>
      <c r="C142" s="2" t="s">
        <v>353</v>
      </c>
      <c r="D142" s="1">
        <v>9024431911</v>
      </c>
      <c r="F142" s="6">
        <v>36</v>
      </c>
      <c r="G142" s="4">
        <v>46336</v>
      </c>
    </row>
    <row r="143" spans="1:7">
      <c r="A143" s="1">
        <v>14299</v>
      </c>
      <c r="B143" s="2" t="s">
        <v>354</v>
      </c>
      <c r="C143" s="2" t="s">
        <v>355</v>
      </c>
      <c r="D143" s="1">
        <v>9024431938</v>
      </c>
      <c r="F143" s="6">
        <v>37</v>
      </c>
      <c r="G143" s="4">
        <v>46351</v>
      </c>
    </row>
    <row r="144" spans="1:7">
      <c r="A144" s="1">
        <v>8251</v>
      </c>
      <c r="B144" s="2" t="s">
        <v>356</v>
      </c>
      <c r="C144" s="2" t="s">
        <v>357</v>
      </c>
      <c r="D144" s="1">
        <v>9024431989</v>
      </c>
      <c r="F144" s="6">
        <v>38</v>
      </c>
      <c r="G144" s="4">
        <v>46366</v>
      </c>
    </row>
    <row r="145" spans="1:7">
      <c r="A145" s="1">
        <v>8657</v>
      </c>
      <c r="B145" s="2" t="s">
        <v>358</v>
      </c>
      <c r="C145" s="2" t="s">
        <v>359</v>
      </c>
      <c r="D145" s="1">
        <v>9024431997</v>
      </c>
      <c r="F145" s="6">
        <v>39</v>
      </c>
      <c r="G145" s="4">
        <v>46381</v>
      </c>
    </row>
    <row r="146" spans="1:7">
      <c r="A146" s="1">
        <v>801</v>
      </c>
      <c r="B146" s="2" t="s">
        <v>360</v>
      </c>
      <c r="C146" s="2" t="s">
        <v>361</v>
      </c>
      <c r="D146" s="1">
        <v>9024432012</v>
      </c>
      <c r="F146" s="6">
        <v>40</v>
      </c>
      <c r="G146" s="4">
        <v>46397</v>
      </c>
    </row>
    <row r="147" spans="1:7">
      <c r="A147" s="1">
        <v>3610</v>
      </c>
      <c r="B147" s="2" t="s">
        <v>362</v>
      </c>
      <c r="C147" s="2" t="s">
        <v>363</v>
      </c>
      <c r="D147" s="1">
        <v>9024432063</v>
      </c>
      <c r="F147" s="6">
        <v>41</v>
      </c>
      <c r="G147" s="4">
        <v>46412</v>
      </c>
    </row>
    <row r="148" spans="1:7">
      <c r="A148" s="1">
        <v>959</v>
      </c>
      <c r="B148" s="2" t="s">
        <v>364</v>
      </c>
      <c r="C148" s="2" t="s">
        <v>365</v>
      </c>
      <c r="D148" s="1">
        <v>9024432071</v>
      </c>
      <c r="F148" s="6">
        <v>42</v>
      </c>
      <c r="G148" s="4">
        <v>46428</v>
      </c>
    </row>
    <row r="149" spans="1:7">
      <c r="A149" s="1">
        <v>534</v>
      </c>
      <c r="B149" s="2" t="s">
        <v>366</v>
      </c>
      <c r="C149" s="2" t="s">
        <v>367</v>
      </c>
      <c r="D149" s="1">
        <v>9024432136</v>
      </c>
      <c r="F149" s="6">
        <v>43</v>
      </c>
      <c r="G149" s="4">
        <v>46443</v>
      </c>
    </row>
    <row r="150" spans="1:7">
      <c r="A150" s="1">
        <v>607</v>
      </c>
      <c r="B150" s="2" t="s">
        <v>368</v>
      </c>
      <c r="C150" s="2" t="s">
        <v>369</v>
      </c>
      <c r="D150" s="1">
        <v>9024432179</v>
      </c>
      <c r="F150" s="6">
        <v>44</v>
      </c>
      <c r="G150" s="4">
        <v>46456</v>
      </c>
    </row>
    <row r="151" spans="1:7">
      <c r="A151" s="1">
        <v>555</v>
      </c>
      <c r="B151" s="2" t="s">
        <v>370</v>
      </c>
      <c r="C151" s="2" t="s">
        <v>371</v>
      </c>
      <c r="D151" s="1">
        <v>9024432217</v>
      </c>
      <c r="F151" s="6">
        <v>45</v>
      </c>
      <c r="G151" s="4">
        <v>46471</v>
      </c>
    </row>
    <row r="152" spans="1:7">
      <c r="A152" s="1">
        <v>941</v>
      </c>
      <c r="B152" s="2" t="s">
        <v>372</v>
      </c>
      <c r="C152" s="2" t="s">
        <v>373</v>
      </c>
      <c r="D152" s="1">
        <v>9024432284</v>
      </c>
      <c r="F152" s="6">
        <v>46</v>
      </c>
      <c r="G152" s="4">
        <v>46487</v>
      </c>
    </row>
    <row r="153" spans="1:7">
      <c r="A153" s="1">
        <v>309</v>
      </c>
      <c r="B153" s="2" t="s">
        <v>374</v>
      </c>
      <c r="C153" s="2" t="s">
        <v>375</v>
      </c>
      <c r="D153" s="1">
        <v>9024432306</v>
      </c>
      <c r="F153" s="6">
        <v>47</v>
      </c>
      <c r="G153" s="4">
        <v>46502</v>
      </c>
    </row>
    <row r="154" spans="1:7">
      <c r="A154" s="1">
        <v>467</v>
      </c>
      <c r="B154" s="2" t="s">
        <v>376</v>
      </c>
      <c r="C154" s="2" t="s">
        <v>377</v>
      </c>
      <c r="D154" s="1">
        <v>9024432349</v>
      </c>
      <c r="F154" s="6">
        <v>48</v>
      </c>
      <c r="G154" s="4">
        <v>46517</v>
      </c>
    </row>
    <row r="155" spans="1:7">
      <c r="A155" s="1">
        <v>299</v>
      </c>
      <c r="B155" s="2" t="s">
        <v>378</v>
      </c>
      <c r="C155" s="2" t="s">
        <v>379</v>
      </c>
      <c r="D155" s="1">
        <v>9024432381</v>
      </c>
      <c r="G155" s="4">
        <v>46532</v>
      </c>
    </row>
    <row r="156" spans="1:7">
      <c r="A156" s="1">
        <v>14267</v>
      </c>
      <c r="B156" s="2" t="s">
        <v>380</v>
      </c>
      <c r="C156" s="2" t="s">
        <v>381</v>
      </c>
      <c r="D156" s="1">
        <v>9024432403</v>
      </c>
      <c r="G156" s="4">
        <v>46548</v>
      </c>
    </row>
    <row r="157" spans="1:7">
      <c r="A157" s="1">
        <v>391</v>
      </c>
      <c r="B157" s="2" t="s">
        <v>382</v>
      </c>
      <c r="C157" s="2" t="s">
        <v>383</v>
      </c>
      <c r="D157" s="1">
        <v>9024432411</v>
      </c>
      <c r="G157" s="4">
        <v>46563</v>
      </c>
    </row>
    <row r="158" spans="1:7">
      <c r="A158" s="1">
        <v>163</v>
      </c>
      <c r="B158" s="2" t="s">
        <v>384</v>
      </c>
      <c r="C158" s="2" t="s">
        <v>385</v>
      </c>
      <c r="D158" s="1">
        <v>9024432438</v>
      </c>
      <c r="G158" s="4">
        <v>46578</v>
      </c>
    </row>
    <row r="159" spans="1:7">
      <c r="A159" s="1">
        <v>345</v>
      </c>
      <c r="B159" s="2" t="s">
        <v>386</v>
      </c>
      <c r="C159" s="2" t="s">
        <v>387</v>
      </c>
      <c r="D159" s="1">
        <v>9024432446</v>
      </c>
      <c r="G159" s="4">
        <v>46593</v>
      </c>
    </row>
    <row r="160" spans="1:7">
      <c r="A160" s="1">
        <v>126</v>
      </c>
      <c r="B160" s="2" t="s">
        <v>388</v>
      </c>
      <c r="C160" s="2" t="s">
        <v>389</v>
      </c>
      <c r="D160" s="1">
        <v>9024432454</v>
      </c>
      <c r="G160" s="4">
        <v>46609</v>
      </c>
    </row>
    <row r="161" spans="1:7">
      <c r="A161" s="1">
        <v>9809</v>
      </c>
      <c r="B161" s="2" t="s">
        <v>390</v>
      </c>
      <c r="C161" s="2" t="s">
        <v>391</v>
      </c>
      <c r="D161" s="1">
        <v>9024432462</v>
      </c>
      <c r="G161" s="4">
        <v>46624</v>
      </c>
    </row>
    <row r="162" spans="1:7">
      <c r="A162" s="1">
        <v>247</v>
      </c>
      <c r="B162" s="2" t="s">
        <v>392</v>
      </c>
      <c r="C162" s="2" t="s">
        <v>393</v>
      </c>
      <c r="D162" s="1">
        <v>9024432489</v>
      </c>
      <c r="G162" s="4">
        <v>46640</v>
      </c>
    </row>
    <row r="163" spans="1:7">
      <c r="A163" s="1">
        <v>420</v>
      </c>
      <c r="B163" s="2" t="s">
        <v>394</v>
      </c>
      <c r="C163" s="2" t="s">
        <v>395</v>
      </c>
      <c r="D163" s="1">
        <v>9024432497</v>
      </c>
      <c r="G163" s="4">
        <v>46655</v>
      </c>
    </row>
    <row r="164" spans="1:7">
      <c r="A164" s="1">
        <v>726</v>
      </c>
      <c r="B164" s="2" t="s">
        <v>396</v>
      </c>
      <c r="C164" s="2" t="s">
        <v>397</v>
      </c>
      <c r="D164" s="1">
        <v>9024432527</v>
      </c>
      <c r="G164" s="4">
        <v>46670</v>
      </c>
    </row>
    <row r="165" spans="1:7">
      <c r="A165" s="1">
        <v>13800</v>
      </c>
      <c r="B165" s="2" t="s">
        <v>398</v>
      </c>
      <c r="C165" s="2" t="s">
        <v>399</v>
      </c>
      <c r="D165" s="1">
        <v>9024432551</v>
      </c>
      <c r="G165" s="4">
        <v>46685</v>
      </c>
    </row>
    <row r="166" spans="1:7">
      <c r="A166" s="1">
        <v>175</v>
      </c>
      <c r="B166" s="2" t="s">
        <v>400</v>
      </c>
      <c r="C166" s="2" t="s">
        <v>401</v>
      </c>
      <c r="D166" s="1">
        <v>9024432586</v>
      </c>
      <c r="G166" s="4">
        <v>46701</v>
      </c>
    </row>
    <row r="167" spans="1:7">
      <c r="A167" s="1">
        <v>283</v>
      </c>
      <c r="B167" s="2" t="s">
        <v>402</v>
      </c>
      <c r="C167" s="2" t="s">
        <v>403</v>
      </c>
      <c r="D167" s="1">
        <v>9024432594</v>
      </c>
      <c r="G167" s="4">
        <v>46716</v>
      </c>
    </row>
    <row r="168" spans="1:7">
      <c r="A168" s="1">
        <v>273</v>
      </c>
      <c r="B168" s="2" t="s">
        <v>404</v>
      </c>
      <c r="C168" s="2" t="s">
        <v>405</v>
      </c>
      <c r="D168" s="1">
        <v>9024432608</v>
      </c>
      <c r="G168" s="4">
        <v>46731</v>
      </c>
    </row>
    <row r="169" spans="1:7">
      <c r="A169" s="1">
        <v>60</v>
      </c>
      <c r="B169" s="2" t="s">
        <v>406</v>
      </c>
      <c r="C169" s="2" t="s">
        <v>407</v>
      </c>
      <c r="D169" s="1">
        <v>9024535784</v>
      </c>
      <c r="G169" s="4">
        <v>46746</v>
      </c>
    </row>
    <row r="170" spans="1:7">
      <c r="A170" s="1">
        <v>11373</v>
      </c>
      <c r="B170" s="2" t="s">
        <v>408</v>
      </c>
      <c r="C170" s="2" t="s">
        <v>409</v>
      </c>
      <c r="D170" s="1">
        <v>9024535938</v>
      </c>
    </row>
    <row r="171" spans="1:7">
      <c r="A171" s="1">
        <v>13108</v>
      </c>
      <c r="B171" s="2" t="s">
        <v>410</v>
      </c>
      <c r="C171" s="2" t="s">
        <v>411</v>
      </c>
      <c r="D171" s="1">
        <v>9024579447</v>
      </c>
    </row>
    <row r="172" spans="1:7">
      <c r="A172" s="1">
        <v>4068</v>
      </c>
      <c r="B172" s="2" t="s">
        <v>412</v>
      </c>
      <c r="C172" s="2" t="s">
        <v>413</v>
      </c>
      <c r="D172" s="1">
        <v>9024579455</v>
      </c>
    </row>
    <row r="173" spans="1:7">
      <c r="A173" s="1">
        <v>9407</v>
      </c>
      <c r="B173" s="2" t="s">
        <v>414</v>
      </c>
      <c r="C173" s="2" t="s">
        <v>415</v>
      </c>
      <c r="D173" s="1">
        <v>9024579463</v>
      </c>
    </row>
    <row r="174" spans="1:7">
      <c r="A174" s="1">
        <v>97</v>
      </c>
      <c r="B174" s="2" t="s">
        <v>416</v>
      </c>
      <c r="C174" s="2" t="s">
        <v>417</v>
      </c>
      <c r="D174" s="1">
        <v>9024579471</v>
      </c>
    </row>
    <row r="175" spans="1:7">
      <c r="A175" s="1">
        <v>14790</v>
      </c>
      <c r="B175" s="2" t="s">
        <v>418</v>
      </c>
      <c r="C175" s="2" t="s">
        <v>419</v>
      </c>
      <c r="D175" s="1">
        <v>9024745614</v>
      </c>
    </row>
    <row r="176" spans="1:7">
      <c r="A176" s="1">
        <v>14394</v>
      </c>
      <c r="B176" s="2" t="s">
        <v>420</v>
      </c>
      <c r="C176" s="2" t="s">
        <v>421</v>
      </c>
      <c r="D176" s="1">
        <v>9024745894</v>
      </c>
    </row>
    <row r="177" spans="1:4">
      <c r="A177" s="1">
        <v>143</v>
      </c>
      <c r="B177" s="2" t="s">
        <v>422</v>
      </c>
      <c r="C177" s="2" t="s">
        <v>423</v>
      </c>
      <c r="D177" s="1">
        <v>9024745916</v>
      </c>
    </row>
    <row r="178" spans="1:4">
      <c r="A178" s="1">
        <v>14856</v>
      </c>
      <c r="B178" s="2" t="s">
        <v>424</v>
      </c>
      <c r="C178" s="2" t="s">
        <v>425</v>
      </c>
      <c r="D178" s="1">
        <v>9024931698</v>
      </c>
    </row>
    <row r="179" spans="1:4">
      <c r="A179" s="1">
        <v>15120</v>
      </c>
      <c r="B179" s="2" t="s">
        <v>426</v>
      </c>
      <c r="C179" s="2" t="s">
        <v>427</v>
      </c>
      <c r="D179" s="1">
        <v>9025562998</v>
      </c>
    </row>
    <row r="180" spans="1:4">
      <c r="A180" s="1">
        <v>15378</v>
      </c>
      <c r="B180" s="2" t="s">
        <v>428</v>
      </c>
      <c r="C180" s="2" t="s">
        <v>429</v>
      </c>
      <c r="D180" s="1">
        <v>9026006444</v>
      </c>
    </row>
    <row r="181" spans="1:4">
      <c r="A181" s="1">
        <v>15440</v>
      </c>
      <c r="B181" s="2" t="s">
        <v>430</v>
      </c>
      <c r="C181" s="2" t="s">
        <v>431</v>
      </c>
      <c r="D181" s="1">
        <v>9026530372</v>
      </c>
    </row>
    <row r="182" spans="1:4">
      <c r="A182" s="1">
        <v>15434</v>
      </c>
      <c r="B182" s="2" t="s">
        <v>432</v>
      </c>
      <c r="C182" s="2" t="s">
        <v>433</v>
      </c>
      <c r="D182" s="1">
        <v>9026530380</v>
      </c>
    </row>
    <row r="183" spans="1:4">
      <c r="A183" s="1">
        <v>15438</v>
      </c>
      <c r="B183" s="2" t="s">
        <v>434</v>
      </c>
      <c r="C183" s="2" t="s">
        <v>435</v>
      </c>
      <c r="D183" s="1">
        <v>9026530410</v>
      </c>
    </row>
    <row r="184" spans="1:4">
      <c r="A184" s="1">
        <v>15437</v>
      </c>
      <c r="B184" s="2" t="s">
        <v>436</v>
      </c>
      <c r="C184" s="2" t="s">
        <v>437</v>
      </c>
      <c r="D184" s="1">
        <v>9026530429</v>
      </c>
    </row>
    <row r="185" spans="1:4">
      <c r="A185" s="1">
        <v>15435</v>
      </c>
      <c r="B185" s="2" t="s">
        <v>438</v>
      </c>
      <c r="C185" s="2" t="s">
        <v>439</v>
      </c>
      <c r="D185" s="1">
        <v>9026530445</v>
      </c>
    </row>
    <row r="186" spans="1:4">
      <c r="A186" s="1">
        <v>15425</v>
      </c>
      <c r="B186" s="2" t="s">
        <v>440</v>
      </c>
      <c r="C186" s="2" t="s">
        <v>441</v>
      </c>
      <c r="D186" s="1">
        <v>9026530461</v>
      </c>
    </row>
    <row r="187" spans="1:4">
      <c r="A187" s="1">
        <v>15436</v>
      </c>
      <c r="B187" s="2" t="s">
        <v>442</v>
      </c>
      <c r="C187" s="2" t="s">
        <v>443</v>
      </c>
      <c r="D187" s="1">
        <v>9026530518</v>
      </c>
    </row>
    <row r="188" spans="1:4">
      <c r="A188" s="1">
        <v>15424</v>
      </c>
      <c r="B188" s="2" t="s">
        <v>444</v>
      </c>
      <c r="C188" s="2" t="s">
        <v>445</v>
      </c>
      <c r="D188" s="1">
        <v>9026530526</v>
      </c>
    </row>
    <row r="189" spans="1:4">
      <c r="A189" s="1">
        <v>15441</v>
      </c>
      <c r="B189" s="2" t="s">
        <v>446</v>
      </c>
      <c r="C189" s="2" t="s">
        <v>447</v>
      </c>
      <c r="D189" s="1">
        <v>9026575724</v>
      </c>
    </row>
    <row r="190" spans="1:4">
      <c r="A190" s="1">
        <v>15456</v>
      </c>
      <c r="B190" s="2" t="s">
        <v>448</v>
      </c>
      <c r="C190" s="2" t="s">
        <v>449</v>
      </c>
      <c r="D190" s="1">
        <v>9026632892</v>
      </c>
    </row>
    <row r="191" spans="1:4">
      <c r="A191" s="1">
        <v>15461</v>
      </c>
      <c r="B191" s="2" t="s">
        <v>450</v>
      </c>
      <c r="C191" s="2" t="s">
        <v>451</v>
      </c>
      <c r="D191" s="1">
        <v>9026632930</v>
      </c>
    </row>
    <row r="192" spans="1:4">
      <c r="A192" s="1">
        <v>15455</v>
      </c>
      <c r="B192" s="2" t="s">
        <v>452</v>
      </c>
      <c r="C192" s="2" t="s">
        <v>453</v>
      </c>
      <c r="D192" s="1">
        <v>9026632957</v>
      </c>
    </row>
    <row r="193" spans="1:4">
      <c r="A193" s="1">
        <v>15457</v>
      </c>
      <c r="B193" s="2" t="s">
        <v>454</v>
      </c>
      <c r="C193" s="2" t="s">
        <v>455</v>
      </c>
      <c r="D193" s="1">
        <v>9026632965</v>
      </c>
    </row>
    <row r="194" spans="1:4">
      <c r="A194" s="1">
        <v>15459</v>
      </c>
      <c r="B194" s="2" t="s">
        <v>456</v>
      </c>
      <c r="C194" s="2" t="s">
        <v>457</v>
      </c>
      <c r="D194" s="1">
        <v>9026633007</v>
      </c>
    </row>
    <row r="195" spans="1:4">
      <c r="A195" s="1">
        <v>15479</v>
      </c>
      <c r="B195" s="2" t="s">
        <v>458</v>
      </c>
      <c r="C195" s="2" t="s">
        <v>459</v>
      </c>
      <c r="D195" s="1">
        <v>9026674129</v>
      </c>
    </row>
    <row r="196" spans="1:4">
      <c r="A196" s="1">
        <v>15477</v>
      </c>
      <c r="B196" s="2" t="s">
        <v>460</v>
      </c>
      <c r="C196" s="2" t="s">
        <v>461</v>
      </c>
      <c r="D196" s="1">
        <v>9026674153</v>
      </c>
    </row>
    <row r="197" spans="1:4">
      <c r="A197" s="1">
        <v>15475</v>
      </c>
      <c r="B197" s="2" t="s">
        <v>462</v>
      </c>
      <c r="C197" s="2" t="s">
        <v>463</v>
      </c>
      <c r="D197" s="1">
        <v>9026674277</v>
      </c>
    </row>
    <row r="198" spans="1:4">
      <c r="A198" s="1">
        <v>15490</v>
      </c>
      <c r="B198" s="2" t="s">
        <v>464</v>
      </c>
      <c r="C198" s="2" t="s">
        <v>465</v>
      </c>
      <c r="D198" s="1">
        <v>9027110334</v>
      </c>
    </row>
    <row r="199" spans="1:4">
      <c r="A199" s="1">
        <v>15489</v>
      </c>
      <c r="B199" s="2" t="s">
        <v>466</v>
      </c>
      <c r="C199" s="2" t="s">
        <v>467</v>
      </c>
      <c r="D199" s="1">
        <v>9027110342</v>
      </c>
    </row>
    <row r="200" spans="1:4">
      <c r="A200" s="1">
        <v>15615</v>
      </c>
      <c r="B200" s="2" t="s">
        <v>468</v>
      </c>
      <c r="C200" s="2" t="s">
        <v>469</v>
      </c>
      <c r="D200" s="1">
        <v>9027110350</v>
      </c>
    </row>
    <row r="201" spans="1:4">
      <c r="A201" s="1">
        <v>15702</v>
      </c>
      <c r="B201" s="2" t="s">
        <v>470</v>
      </c>
      <c r="C201" s="2" t="s">
        <v>471</v>
      </c>
      <c r="D201" s="1">
        <v>9027185253</v>
      </c>
    </row>
    <row r="202" spans="1:4">
      <c r="A202" s="1">
        <v>15701</v>
      </c>
      <c r="B202" s="2" t="s">
        <v>472</v>
      </c>
      <c r="C202" s="2" t="s">
        <v>473</v>
      </c>
      <c r="D202" s="1">
        <v>9027185261</v>
      </c>
    </row>
    <row r="203" spans="1:4">
      <c r="A203" s="1">
        <v>15705</v>
      </c>
      <c r="B203" s="2" t="s">
        <v>474</v>
      </c>
      <c r="C203" s="2" t="s">
        <v>475</v>
      </c>
      <c r="D203" s="1">
        <v>9027185288</v>
      </c>
    </row>
    <row r="204" spans="1:4">
      <c r="A204" s="1">
        <v>15706</v>
      </c>
      <c r="B204" s="2" t="s">
        <v>476</v>
      </c>
      <c r="C204" s="2" t="s">
        <v>477</v>
      </c>
      <c r="D204" s="1">
        <v>9027185660</v>
      </c>
    </row>
    <row r="205" spans="1:4">
      <c r="A205" s="1">
        <v>15704</v>
      </c>
      <c r="B205" s="2" t="s">
        <v>478</v>
      </c>
      <c r="C205" s="2" t="s">
        <v>479</v>
      </c>
      <c r="D205" s="1">
        <v>9027288338</v>
      </c>
    </row>
    <row r="206" spans="1:4">
      <c r="A206" s="1">
        <v>15703</v>
      </c>
      <c r="B206" s="2" t="s">
        <v>480</v>
      </c>
      <c r="C206" s="2" t="s">
        <v>481</v>
      </c>
      <c r="D206" s="1">
        <v>9027288346</v>
      </c>
    </row>
    <row r="207" spans="1:4">
      <c r="A207" s="1">
        <v>15700</v>
      </c>
      <c r="B207" s="2" t="s">
        <v>482</v>
      </c>
      <c r="C207" s="2" t="s">
        <v>483</v>
      </c>
      <c r="D207" s="1">
        <v>9027493624</v>
      </c>
    </row>
    <row r="208" spans="1:4">
      <c r="A208" s="1">
        <v>15764</v>
      </c>
      <c r="B208" s="2" t="s">
        <v>484</v>
      </c>
      <c r="C208" s="2" t="s">
        <v>485</v>
      </c>
      <c r="D208" s="1">
        <v>9027493969</v>
      </c>
    </row>
    <row r="209" spans="1:4">
      <c r="A209" s="1">
        <v>15731</v>
      </c>
      <c r="B209" s="2" t="s">
        <v>486</v>
      </c>
      <c r="C209" s="2" t="s">
        <v>487</v>
      </c>
      <c r="D209" s="1">
        <v>9027494027</v>
      </c>
    </row>
    <row r="210" spans="1:4">
      <c r="A210" s="1">
        <v>15732</v>
      </c>
      <c r="B210" s="2" t="s">
        <v>488</v>
      </c>
      <c r="C210" s="2" t="s">
        <v>489</v>
      </c>
      <c r="D210" s="1">
        <v>9027701448</v>
      </c>
    </row>
    <row r="211" spans="1:4">
      <c r="A211" s="1">
        <v>15980</v>
      </c>
      <c r="B211" s="2" t="s">
        <v>490</v>
      </c>
      <c r="C211" s="2" t="s">
        <v>491</v>
      </c>
      <c r="D211" s="1">
        <v>9028284255</v>
      </c>
    </row>
    <row r="212" spans="1:4">
      <c r="A212" s="1">
        <v>15979</v>
      </c>
      <c r="B212" s="2" t="s">
        <v>492</v>
      </c>
      <c r="C212" s="2" t="s">
        <v>493</v>
      </c>
      <c r="D212" s="1">
        <v>9028284557</v>
      </c>
    </row>
    <row r="213" spans="1:4">
      <c r="A213" s="1">
        <v>15976</v>
      </c>
      <c r="B213" s="2" t="s">
        <v>494</v>
      </c>
      <c r="C213" s="2" t="s">
        <v>495</v>
      </c>
      <c r="D213" s="1">
        <v>9028284581</v>
      </c>
    </row>
    <row r="214" spans="1:4">
      <c r="A214" s="1">
        <v>15991</v>
      </c>
      <c r="B214" s="2" t="s">
        <v>496</v>
      </c>
      <c r="C214" s="2" t="s">
        <v>497</v>
      </c>
      <c r="D214" s="1">
        <v>9028284743</v>
      </c>
    </row>
    <row r="215" spans="1:4">
      <c r="A215" s="1">
        <v>15791</v>
      </c>
      <c r="B215" s="2" t="s">
        <v>498</v>
      </c>
      <c r="C215" s="2" t="s">
        <v>499</v>
      </c>
      <c r="D215" s="1">
        <v>9028736784</v>
      </c>
    </row>
    <row r="216" spans="1:4">
      <c r="A216" s="1">
        <v>15492</v>
      </c>
      <c r="B216" s="2" t="s">
        <v>500</v>
      </c>
      <c r="C216" s="2" t="s">
        <v>501</v>
      </c>
      <c r="D216" s="1">
        <v>9028736830</v>
      </c>
    </row>
    <row r="217" spans="1:4">
      <c r="A217" s="1">
        <v>16418</v>
      </c>
      <c r="B217" s="2" t="s">
        <v>502</v>
      </c>
      <c r="C217" s="2" t="s">
        <v>503</v>
      </c>
      <c r="D217" s="1">
        <v>9029005236</v>
      </c>
    </row>
    <row r="218" spans="1:4">
      <c r="A218" s="1">
        <v>16422</v>
      </c>
      <c r="B218" s="2" t="s">
        <v>504</v>
      </c>
      <c r="C218" s="2" t="s">
        <v>505</v>
      </c>
      <c r="D218" s="1">
        <v>9029006313</v>
      </c>
    </row>
    <row r="219" spans="1:4">
      <c r="A219" s="1">
        <v>16419</v>
      </c>
      <c r="B219" s="2" t="s">
        <v>506</v>
      </c>
      <c r="C219" s="2" t="s">
        <v>507</v>
      </c>
      <c r="D219" s="1">
        <v>9029006402</v>
      </c>
    </row>
    <row r="220" spans="1:4">
      <c r="A220" s="1">
        <v>16420</v>
      </c>
      <c r="B220" s="2" t="s">
        <v>508</v>
      </c>
      <c r="C220" s="2" t="s">
        <v>509</v>
      </c>
      <c r="D220" s="1">
        <v>9029006801</v>
      </c>
    </row>
    <row r="221" spans="1:4">
      <c r="A221" s="1">
        <v>16505</v>
      </c>
      <c r="B221" s="2" t="s">
        <v>510</v>
      </c>
      <c r="C221" s="2" t="s">
        <v>511</v>
      </c>
      <c r="D221" s="1">
        <v>9029120000</v>
      </c>
    </row>
    <row r="222" spans="1:4">
      <c r="A222" s="1">
        <v>15920</v>
      </c>
      <c r="B222" s="2" t="s">
        <v>512</v>
      </c>
      <c r="C222" s="2" t="s">
        <v>513</v>
      </c>
      <c r="D222" s="1">
        <v>9029120833</v>
      </c>
    </row>
    <row r="223" spans="1:4">
      <c r="A223" s="1">
        <v>16009</v>
      </c>
      <c r="B223" s="2" t="s">
        <v>514</v>
      </c>
      <c r="C223" s="2" t="s">
        <v>515</v>
      </c>
      <c r="D223" s="1">
        <v>9029121414</v>
      </c>
    </row>
    <row r="224" spans="1:4">
      <c r="A224" s="1">
        <v>16337</v>
      </c>
      <c r="B224" s="2" t="s">
        <v>516</v>
      </c>
      <c r="C224" s="2" t="s">
        <v>517</v>
      </c>
      <c r="D224" s="1">
        <v>9029122135</v>
      </c>
    </row>
    <row r="225" spans="1:4">
      <c r="A225" s="1">
        <v>15975</v>
      </c>
      <c r="B225" s="2" t="s">
        <v>518</v>
      </c>
      <c r="C225" s="2" t="s">
        <v>519</v>
      </c>
      <c r="D225" s="1">
        <v>9029122712</v>
      </c>
    </row>
    <row r="226" spans="1:4">
      <c r="A226" s="1">
        <v>16372</v>
      </c>
      <c r="B226" s="2" t="s">
        <v>520</v>
      </c>
      <c r="C226" s="2" t="s">
        <v>521</v>
      </c>
      <c r="D226" s="1">
        <v>9029123131</v>
      </c>
    </row>
    <row r="227" spans="1:4">
      <c r="A227" s="1">
        <v>16534</v>
      </c>
      <c r="B227" s="2" t="s">
        <v>522</v>
      </c>
      <c r="C227" s="2" t="s">
        <v>523</v>
      </c>
      <c r="D227" s="1">
        <v>9029288068</v>
      </c>
    </row>
    <row r="228" spans="1:4">
      <c r="A228" s="1">
        <v>26555</v>
      </c>
      <c r="B228" s="2" t="s">
        <v>524</v>
      </c>
      <c r="C228" s="2" t="s">
        <v>525</v>
      </c>
      <c r="D228" s="1">
        <v>9029334566</v>
      </c>
    </row>
    <row r="229" spans="1:4">
      <c r="A229" s="1">
        <v>26556</v>
      </c>
      <c r="B229" s="2" t="s">
        <v>526</v>
      </c>
      <c r="C229" s="2" t="s">
        <v>527</v>
      </c>
      <c r="D229" s="1">
        <v>9029337107</v>
      </c>
    </row>
    <row r="230" spans="1:4">
      <c r="A230" s="1">
        <v>26557</v>
      </c>
      <c r="B230" s="2" t="s">
        <v>528</v>
      </c>
      <c r="C230" s="2" t="s">
        <v>529</v>
      </c>
      <c r="D230" s="1">
        <v>9029338006</v>
      </c>
    </row>
    <row r="231" spans="1:4">
      <c r="A231" s="1">
        <v>26572</v>
      </c>
      <c r="B231" s="2" t="s">
        <v>530</v>
      </c>
      <c r="C231" s="2" t="s">
        <v>531</v>
      </c>
      <c r="D231" s="1">
        <v>9029375645</v>
      </c>
    </row>
    <row r="232" spans="1:4">
      <c r="A232" s="1">
        <v>26573</v>
      </c>
      <c r="B232" s="2" t="s">
        <v>532</v>
      </c>
      <c r="C232" s="2" t="s">
        <v>533</v>
      </c>
      <c r="D232" s="1">
        <v>9029377494</v>
      </c>
    </row>
    <row r="233" spans="1:4">
      <c r="A233" s="1">
        <v>26570</v>
      </c>
      <c r="B233" s="2" t="s">
        <v>534</v>
      </c>
      <c r="C233" s="2" t="s">
        <v>535</v>
      </c>
      <c r="D233" s="1">
        <v>9029377583</v>
      </c>
    </row>
    <row r="234" spans="1:4">
      <c r="A234" s="1">
        <v>26632</v>
      </c>
      <c r="B234" s="2" t="s">
        <v>536</v>
      </c>
      <c r="C234" s="2" t="s">
        <v>537</v>
      </c>
      <c r="D234" s="1">
        <v>9029547276</v>
      </c>
    </row>
    <row r="235" spans="1:4">
      <c r="A235" s="1">
        <v>26631</v>
      </c>
      <c r="B235" s="2" t="s">
        <v>538</v>
      </c>
      <c r="C235" s="2" t="s">
        <v>539</v>
      </c>
      <c r="D235" s="1">
        <v>9029548426</v>
      </c>
    </row>
    <row r="236" spans="1:4">
      <c r="A236" s="1">
        <v>26633</v>
      </c>
      <c r="B236" s="2" t="s">
        <v>540</v>
      </c>
      <c r="C236" s="2" t="s">
        <v>541</v>
      </c>
      <c r="D236" s="1">
        <v>9029570723</v>
      </c>
    </row>
    <row r="237" spans="1:4">
      <c r="A237" s="1">
        <v>26669</v>
      </c>
      <c r="B237" s="2" t="s">
        <v>542</v>
      </c>
      <c r="C237" s="2" t="s">
        <v>543</v>
      </c>
      <c r="D237" s="1">
        <v>9029590619</v>
      </c>
    </row>
    <row r="238" spans="1:4">
      <c r="A238" s="1">
        <v>26804</v>
      </c>
      <c r="B238" s="2" t="s">
        <v>544</v>
      </c>
      <c r="C238" s="2" t="s">
        <v>545</v>
      </c>
      <c r="D238" s="1">
        <v>9029829913</v>
      </c>
    </row>
    <row r="239" spans="1:4">
      <c r="A239" s="1">
        <v>26821</v>
      </c>
      <c r="B239" s="2" t="s">
        <v>546</v>
      </c>
      <c r="C239" s="2" t="s">
        <v>547</v>
      </c>
      <c r="D239" s="1">
        <v>9029830075</v>
      </c>
    </row>
    <row r="240" spans="1:4">
      <c r="A240" s="1">
        <v>26842</v>
      </c>
      <c r="B240" s="2" t="s">
        <v>548</v>
      </c>
      <c r="C240" s="2" t="s">
        <v>549</v>
      </c>
      <c r="D240" s="1">
        <v>9029986776</v>
      </c>
    </row>
    <row r="241" spans="1:4">
      <c r="A241" s="1">
        <v>26840</v>
      </c>
      <c r="B241" s="2" t="s">
        <v>550</v>
      </c>
      <c r="C241" s="2" t="s">
        <v>551</v>
      </c>
      <c r="D241" s="1">
        <v>9029987136</v>
      </c>
    </row>
    <row r="242" spans="1:4">
      <c r="A242" s="1">
        <v>26839</v>
      </c>
      <c r="B242" s="2" t="s">
        <v>552</v>
      </c>
      <c r="C242" s="2" t="s">
        <v>553</v>
      </c>
      <c r="D242" s="1">
        <v>9029987713</v>
      </c>
    </row>
    <row r="243" spans="1:4">
      <c r="A243" s="1">
        <v>26853</v>
      </c>
      <c r="B243" s="2" t="s">
        <v>554</v>
      </c>
      <c r="C243" s="2" t="s">
        <v>555</v>
      </c>
      <c r="D243" s="1">
        <v>9030027561</v>
      </c>
    </row>
    <row r="244" spans="1:4">
      <c r="A244" s="1">
        <v>26852</v>
      </c>
      <c r="B244" s="2" t="s">
        <v>556</v>
      </c>
      <c r="C244" s="2" t="s">
        <v>557</v>
      </c>
      <c r="D244" s="1">
        <v>9030027693</v>
      </c>
    </row>
    <row r="245" spans="1:4">
      <c r="A245" s="1">
        <v>26875</v>
      </c>
      <c r="B245" s="2" t="s">
        <v>558</v>
      </c>
      <c r="C245" s="2" t="s">
        <v>559</v>
      </c>
      <c r="D245" s="1">
        <v>9030095958</v>
      </c>
    </row>
    <row r="246" spans="1:4">
      <c r="A246" s="1">
        <v>26897</v>
      </c>
      <c r="B246" s="2" t="s">
        <v>560</v>
      </c>
      <c r="C246" s="2" t="s">
        <v>561</v>
      </c>
      <c r="D246" s="1">
        <v>9030114626</v>
      </c>
    </row>
    <row r="247" spans="1:4">
      <c r="A247" s="1">
        <v>26892</v>
      </c>
      <c r="B247" s="2" t="s">
        <v>562</v>
      </c>
      <c r="C247" s="2" t="s">
        <v>563</v>
      </c>
      <c r="D247" s="1">
        <v>9030130656</v>
      </c>
    </row>
    <row r="248" spans="1:4">
      <c r="A248" s="1">
        <v>26893</v>
      </c>
      <c r="B248" s="2" t="s">
        <v>564</v>
      </c>
      <c r="C248" s="2" t="s">
        <v>565</v>
      </c>
      <c r="D248" s="1">
        <v>9030131075</v>
      </c>
    </row>
    <row r="249" spans="1:4">
      <c r="A249" s="1">
        <v>26888</v>
      </c>
      <c r="B249" s="2" t="s">
        <v>566</v>
      </c>
      <c r="C249" s="2" t="s">
        <v>567</v>
      </c>
      <c r="D249" s="1">
        <v>9030131296</v>
      </c>
    </row>
    <row r="250" spans="1:4">
      <c r="A250" s="1">
        <v>36925</v>
      </c>
      <c r="B250" s="2" t="s">
        <v>568</v>
      </c>
      <c r="C250" s="2" t="s">
        <v>569</v>
      </c>
      <c r="D250" s="1">
        <v>9030290599</v>
      </c>
    </row>
    <row r="251" spans="1:4">
      <c r="A251" s="1">
        <v>36926</v>
      </c>
      <c r="B251" s="2" t="s">
        <v>570</v>
      </c>
      <c r="C251" s="2" t="s">
        <v>571</v>
      </c>
      <c r="D251" s="1">
        <v>9030290920</v>
      </c>
    </row>
    <row r="252" spans="1:4">
      <c r="A252" s="1">
        <v>36927</v>
      </c>
      <c r="B252" s="2" t="s">
        <v>572</v>
      </c>
      <c r="C252" s="2" t="s">
        <v>573</v>
      </c>
      <c r="D252" s="1">
        <v>9030291021</v>
      </c>
    </row>
    <row r="253" spans="1:4">
      <c r="A253" s="1">
        <v>37002</v>
      </c>
      <c r="B253" s="2" t="s">
        <v>574</v>
      </c>
      <c r="C253" s="2" t="s">
        <v>575</v>
      </c>
      <c r="D253" s="1">
        <v>9030703559</v>
      </c>
    </row>
    <row r="254" spans="1:4">
      <c r="A254" s="1">
        <v>36991</v>
      </c>
      <c r="B254" s="2" t="s">
        <v>576</v>
      </c>
      <c r="C254" s="2" t="s">
        <v>577</v>
      </c>
      <c r="D254" s="1">
        <v>9030703583</v>
      </c>
    </row>
    <row r="255" spans="1:4">
      <c r="A255" s="1">
        <v>36990</v>
      </c>
      <c r="B255" s="2" t="s">
        <v>578</v>
      </c>
      <c r="C255" s="2" t="s">
        <v>579</v>
      </c>
      <c r="D255" s="1">
        <v>9030704024</v>
      </c>
    </row>
    <row r="256" spans="1:4">
      <c r="A256" s="1">
        <v>36983</v>
      </c>
      <c r="B256" s="2" t="s">
        <v>580</v>
      </c>
      <c r="C256" s="2" t="s">
        <v>581</v>
      </c>
      <c r="D256" s="1">
        <v>9030704199</v>
      </c>
    </row>
    <row r="257" spans="1:4">
      <c r="A257" s="1">
        <v>36989</v>
      </c>
      <c r="B257" s="2" t="s">
        <v>582</v>
      </c>
      <c r="C257" s="2" t="s">
        <v>583</v>
      </c>
      <c r="D257" s="1">
        <v>9030704687</v>
      </c>
    </row>
    <row r="258" spans="1:4">
      <c r="A258" s="1">
        <v>37034</v>
      </c>
      <c r="B258" s="2" t="s">
        <v>584</v>
      </c>
      <c r="C258" s="2" t="s">
        <v>585</v>
      </c>
      <c r="D258" s="1">
        <v>9031354914</v>
      </c>
    </row>
    <row r="259" spans="1:4">
      <c r="A259" s="1">
        <v>47236</v>
      </c>
      <c r="B259" s="2" t="s">
        <v>586</v>
      </c>
      <c r="C259" s="2" t="s">
        <v>587</v>
      </c>
      <c r="D259" s="1">
        <v>9031855174</v>
      </c>
    </row>
    <row r="260" spans="1:4">
      <c r="A260" s="1">
        <v>47391</v>
      </c>
      <c r="B260" s="2" t="s">
        <v>588</v>
      </c>
      <c r="C260" s="2" t="s">
        <v>589</v>
      </c>
      <c r="D260" s="1">
        <v>9032316706</v>
      </c>
    </row>
    <row r="261" spans="1:4">
      <c r="A261" s="1">
        <v>47527</v>
      </c>
      <c r="B261" s="2" t="s">
        <v>590</v>
      </c>
      <c r="C261" s="2" t="s">
        <v>591</v>
      </c>
      <c r="D261" s="1">
        <v>9032772000</v>
      </c>
    </row>
    <row r="262" spans="1:4">
      <c r="A262" s="1">
        <v>8255</v>
      </c>
      <c r="B262" s="2" t="s">
        <v>592</v>
      </c>
      <c r="C262" s="2" t="s">
        <v>593</v>
      </c>
      <c r="D262" s="1">
        <v>9033523411</v>
      </c>
    </row>
    <row r="263" spans="1:4">
      <c r="A263" s="1">
        <v>47788</v>
      </c>
      <c r="B263" s="2" t="s">
        <v>594</v>
      </c>
      <c r="C263" s="2" t="s">
        <v>595</v>
      </c>
      <c r="D263" s="1">
        <v>9034977645</v>
      </c>
    </row>
    <row r="264" spans="1:4">
      <c r="A264" s="1">
        <v>47819</v>
      </c>
      <c r="B264" s="2" t="s">
        <v>596</v>
      </c>
      <c r="C264" s="2" t="s">
        <v>597</v>
      </c>
      <c r="D264" s="1">
        <v>9035190347</v>
      </c>
    </row>
    <row r="265" spans="1:4">
      <c r="A265" s="1">
        <v>47817</v>
      </c>
      <c r="B265" s="2" t="s">
        <v>598</v>
      </c>
      <c r="C265" s="2" t="s">
        <v>599</v>
      </c>
      <c r="D265" s="1">
        <v>9035190398</v>
      </c>
    </row>
    <row r="266" spans="1:4">
      <c r="A266" s="1">
        <v>47850</v>
      </c>
      <c r="B266" s="2" t="s">
        <v>600</v>
      </c>
      <c r="C266" s="2" t="s">
        <v>601</v>
      </c>
      <c r="D266" s="1">
        <v>9035506875</v>
      </c>
    </row>
    <row r="267" spans="1:4">
      <c r="A267" s="1">
        <v>47887</v>
      </c>
      <c r="B267" s="2" t="s">
        <v>602</v>
      </c>
      <c r="C267" s="2" t="s">
        <v>603</v>
      </c>
      <c r="D267" s="1">
        <v>9035682010</v>
      </c>
    </row>
    <row r="268" spans="1:4">
      <c r="A268" s="1">
        <v>47894</v>
      </c>
      <c r="B268" s="2" t="s">
        <v>604</v>
      </c>
      <c r="C268" s="2" t="s">
        <v>21</v>
      </c>
      <c r="D268" s="1">
        <v>9035784204</v>
      </c>
    </row>
    <row r="269" spans="1:4">
      <c r="A269" s="1">
        <v>47910</v>
      </c>
      <c r="B269" s="2" t="s">
        <v>605</v>
      </c>
      <c r="C269" s="2" t="s">
        <v>606</v>
      </c>
      <c r="D269" s="1">
        <v>9035952611</v>
      </c>
    </row>
    <row r="270" spans="1:4">
      <c r="A270" s="1">
        <v>47904</v>
      </c>
      <c r="B270" s="2" t="s">
        <v>607</v>
      </c>
      <c r="C270" s="2" t="s">
        <v>608</v>
      </c>
      <c r="D270" s="1">
        <v>9035952689</v>
      </c>
    </row>
    <row r="271" spans="1:4">
      <c r="A271" s="1">
        <v>47905</v>
      </c>
      <c r="B271" s="2" t="s">
        <v>609</v>
      </c>
      <c r="C271" s="2" t="s">
        <v>610</v>
      </c>
      <c r="D271" s="1">
        <v>9035952700</v>
      </c>
    </row>
    <row r="272" spans="1:4">
      <c r="A272" s="1">
        <v>47913</v>
      </c>
      <c r="B272" s="2" t="s">
        <v>611</v>
      </c>
      <c r="C272" s="2" t="s">
        <v>612</v>
      </c>
      <c r="D272" s="1">
        <v>9036081401</v>
      </c>
    </row>
    <row r="273" spans="1:4">
      <c r="A273" s="1">
        <v>47931</v>
      </c>
      <c r="B273" s="2" t="s">
        <v>613</v>
      </c>
      <c r="C273" s="2" t="s">
        <v>614</v>
      </c>
      <c r="D273" s="1">
        <v>9036081428</v>
      </c>
    </row>
    <row r="274" spans="1:4">
      <c r="A274" s="1">
        <v>47942</v>
      </c>
      <c r="B274" s="2" t="s">
        <v>615</v>
      </c>
      <c r="C274" s="2" t="s">
        <v>616</v>
      </c>
      <c r="D274" s="1">
        <v>9036081436</v>
      </c>
    </row>
    <row r="275" spans="1:4">
      <c r="A275" s="1">
        <v>47921</v>
      </c>
      <c r="B275" s="2" t="s">
        <v>617</v>
      </c>
      <c r="C275" s="2" t="s">
        <v>618</v>
      </c>
      <c r="D275" s="1">
        <v>9036081444</v>
      </c>
    </row>
    <row r="276" spans="1:4">
      <c r="A276" s="1">
        <v>48031</v>
      </c>
      <c r="B276" s="2" t="s">
        <v>619</v>
      </c>
      <c r="C276" s="2" t="s">
        <v>620</v>
      </c>
      <c r="D276" s="1">
        <v>9036160913</v>
      </c>
    </row>
    <row r="277" spans="1:4">
      <c r="A277" s="1">
        <v>48094</v>
      </c>
      <c r="B277" s="2" t="s">
        <v>621</v>
      </c>
      <c r="C277" s="2" t="s">
        <v>622</v>
      </c>
      <c r="D277" s="1">
        <v>9036343155</v>
      </c>
    </row>
    <row r="278" spans="1:4">
      <c r="A278" s="1">
        <v>48123</v>
      </c>
      <c r="B278" s="2" t="s">
        <v>623</v>
      </c>
      <c r="C278" s="2" t="s">
        <v>624</v>
      </c>
      <c r="D278" s="1">
        <v>9036563198</v>
      </c>
    </row>
    <row r="279" spans="1:4">
      <c r="A279" s="1">
        <v>48172</v>
      </c>
      <c r="B279" s="2" t="s">
        <v>625</v>
      </c>
      <c r="C279" s="2" t="s">
        <v>626</v>
      </c>
      <c r="D279" s="1">
        <v>9036654991</v>
      </c>
    </row>
    <row r="280" spans="1:4">
      <c r="A280" s="1">
        <v>48173</v>
      </c>
      <c r="B280" s="2" t="s">
        <v>627</v>
      </c>
      <c r="C280" s="2" t="s">
        <v>628</v>
      </c>
      <c r="D280" s="1">
        <v>9036655009</v>
      </c>
    </row>
    <row r="281" spans="1:4">
      <c r="A281" s="1">
        <v>48166</v>
      </c>
      <c r="B281" s="2" t="s">
        <v>629</v>
      </c>
      <c r="C281" s="2" t="s">
        <v>630</v>
      </c>
      <c r="D281" s="1">
        <v>9036655025</v>
      </c>
    </row>
    <row r="282" spans="1:4">
      <c r="A282" s="1">
        <v>48167</v>
      </c>
      <c r="B282" s="2" t="s">
        <v>631</v>
      </c>
      <c r="C282" s="2" t="s">
        <v>632</v>
      </c>
      <c r="D282" s="1">
        <v>9036655033</v>
      </c>
    </row>
    <row r="283" spans="1:4">
      <c r="A283" s="1">
        <v>48190</v>
      </c>
      <c r="B283" s="2" t="s">
        <v>633</v>
      </c>
      <c r="C283" s="2" t="s">
        <v>634</v>
      </c>
      <c r="D283" s="1">
        <v>9036861687</v>
      </c>
    </row>
    <row r="284" spans="1:4">
      <c r="A284" s="1">
        <v>48196</v>
      </c>
      <c r="B284" s="2" t="s">
        <v>635</v>
      </c>
      <c r="C284" s="2" t="s">
        <v>636</v>
      </c>
      <c r="D284" s="1">
        <v>9037004443</v>
      </c>
    </row>
    <row r="285" spans="1:4">
      <c r="A285" s="1">
        <v>48211</v>
      </c>
      <c r="B285" s="2" t="s">
        <v>637</v>
      </c>
      <c r="C285" s="2" t="s">
        <v>638</v>
      </c>
      <c r="D285" s="1">
        <v>9037353669</v>
      </c>
    </row>
    <row r="286" spans="1:4">
      <c r="A286" s="1">
        <v>48222</v>
      </c>
      <c r="B286" s="2" t="s">
        <v>639</v>
      </c>
      <c r="C286" s="2" t="s">
        <v>640</v>
      </c>
      <c r="D286" s="1">
        <v>9037353723</v>
      </c>
    </row>
    <row r="287" spans="1:4">
      <c r="A287" s="1">
        <v>48219</v>
      </c>
      <c r="B287" s="2" t="s">
        <v>641</v>
      </c>
      <c r="C287" s="2" t="s">
        <v>642</v>
      </c>
      <c r="D287" s="1">
        <v>9037353758</v>
      </c>
    </row>
    <row r="288" spans="1:4">
      <c r="A288" s="1">
        <v>48218</v>
      </c>
      <c r="B288" s="2" t="s">
        <v>643</v>
      </c>
      <c r="C288" s="2" t="s">
        <v>644</v>
      </c>
      <c r="D288" s="1">
        <v>9037384262</v>
      </c>
    </row>
    <row r="289" spans="1:4">
      <c r="A289" s="1">
        <v>48213</v>
      </c>
      <c r="B289" s="2" t="s">
        <v>645</v>
      </c>
      <c r="C289" s="2" t="s">
        <v>646</v>
      </c>
      <c r="D289" s="1">
        <v>9037384289</v>
      </c>
    </row>
    <row r="290" spans="1:4">
      <c r="A290" s="1">
        <v>48248</v>
      </c>
      <c r="B290" s="2" t="s">
        <v>647</v>
      </c>
      <c r="C290" s="2" t="s">
        <v>648</v>
      </c>
      <c r="D290" s="1">
        <v>9037429487</v>
      </c>
    </row>
    <row r="291" spans="1:4">
      <c r="A291" s="1">
        <v>48246</v>
      </c>
      <c r="B291" s="2" t="s">
        <v>649</v>
      </c>
      <c r="C291" s="2" t="s">
        <v>650</v>
      </c>
      <c r="D291" s="1">
        <v>9037429525</v>
      </c>
    </row>
    <row r="292" spans="1:4">
      <c r="A292" s="1">
        <v>48344</v>
      </c>
      <c r="B292" s="2" t="s">
        <v>651</v>
      </c>
      <c r="C292" s="2" t="s">
        <v>652</v>
      </c>
      <c r="D292" s="1">
        <v>9037662963</v>
      </c>
    </row>
    <row r="293" spans="1:4">
      <c r="A293" s="1">
        <v>48348</v>
      </c>
      <c r="B293" s="2" t="s">
        <v>653</v>
      </c>
      <c r="C293" s="2" t="s">
        <v>654</v>
      </c>
      <c r="D293" s="1">
        <v>9037663005</v>
      </c>
    </row>
    <row r="294" spans="1:4">
      <c r="A294" s="1">
        <v>48386</v>
      </c>
      <c r="B294" s="2" t="s">
        <v>655</v>
      </c>
      <c r="C294" s="2" t="s">
        <v>656</v>
      </c>
      <c r="D294" s="1">
        <v>9037680910</v>
      </c>
    </row>
    <row r="295" spans="1:4">
      <c r="A295" s="1">
        <v>48434</v>
      </c>
      <c r="B295" s="2" t="s">
        <v>657</v>
      </c>
      <c r="C295" s="2" t="s">
        <v>658</v>
      </c>
      <c r="D295" s="1">
        <v>9037762062</v>
      </c>
    </row>
    <row r="296" spans="1:4">
      <c r="A296" s="1">
        <v>48443</v>
      </c>
      <c r="B296" s="2" t="s">
        <v>659</v>
      </c>
      <c r="C296" s="2" t="s">
        <v>660</v>
      </c>
      <c r="D296" s="1">
        <v>9037762097</v>
      </c>
    </row>
    <row r="297" spans="1:4">
      <c r="A297" s="1">
        <v>48191</v>
      </c>
      <c r="B297" s="2" t="s">
        <v>661</v>
      </c>
      <c r="C297" s="2" t="s">
        <v>662</v>
      </c>
      <c r="D297" s="1">
        <v>9037762712</v>
      </c>
    </row>
    <row r="298" spans="1:4">
      <c r="A298" s="1">
        <v>48554</v>
      </c>
      <c r="B298" s="2" t="s">
        <v>663</v>
      </c>
      <c r="C298" s="2" t="s">
        <v>664</v>
      </c>
      <c r="D298" s="1">
        <v>9038468656</v>
      </c>
    </row>
    <row r="299" spans="1:4">
      <c r="A299" s="1">
        <v>48534</v>
      </c>
      <c r="B299" s="2" t="s">
        <v>665</v>
      </c>
      <c r="C299" s="2" t="s">
        <v>666</v>
      </c>
      <c r="D299" s="1">
        <v>9038468702</v>
      </c>
    </row>
    <row r="300" spans="1:4">
      <c r="A300" s="1">
        <v>48529</v>
      </c>
      <c r="B300" s="2" t="s">
        <v>667</v>
      </c>
      <c r="C300" s="2" t="s">
        <v>668</v>
      </c>
      <c r="D300" s="1">
        <v>9038468737</v>
      </c>
    </row>
    <row r="301" spans="1:4">
      <c r="A301" s="1">
        <v>48491</v>
      </c>
      <c r="B301" s="2" t="s">
        <v>669</v>
      </c>
      <c r="C301" s="2" t="s">
        <v>670</v>
      </c>
      <c r="D301" s="1">
        <v>9038468753</v>
      </c>
    </row>
    <row r="302" spans="1:4">
      <c r="A302" s="1">
        <v>48489</v>
      </c>
      <c r="B302" s="2" t="s">
        <v>671</v>
      </c>
      <c r="C302" s="2" t="s">
        <v>672</v>
      </c>
      <c r="D302" s="1">
        <v>9038468761</v>
      </c>
    </row>
    <row r="303" spans="1:4">
      <c r="A303" s="1">
        <v>48583</v>
      </c>
      <c r="B303" s="2" t="s">
        <v>673</v>
      </c>
      <c r="C303" s="2" t="s">
        <v>674</v>
      </c>
      <c r="D303" s="1">
        <v>9038486069</v>
      </c>
    </row>
    <row r="304" spans="1:4">
      <c r="A304" s="1">
        <v>48632</v>
      </c>
      <c r="B304" s="2" t="s">
        <v>675</v>
      </c>
      <c r="C304" s="2" t="s">
        <v>676</v>
      </c>
      <c r="D304" s="1">
        <v>9038516960</v>
      </c>
    </row>
    <row r="305" spans="1:4">
      <c r="A305" s="1">
        <v>48614</v>
      </c>
      <c r="B305" s="2" t="s">
        <v>677</v>
      </c>
      <c r="C305" s="2" t="s">
        <v>678</v>
      </c>
      <c r="D305" s="1">
        <v>9038516987</v>
      </c>
    </row>
    <row r="306" spans="1:4">
      <c r="A306" s="1">
        <v>48615</v>
      </c>
      <c r="B306" s="2" t="s">
        <v>679</v>
      </c>
      <c r="C306" s="2" t="s">
        <v>680</v>
      </c>
      <c r="D306" s="1">
        <v>9038517002</v>
      </c>
    </row>
    <row r="307" spans="1:4">
      <c r="A307" s="1">
        <v>48635</v>
      </c>
      <c r="B307" s="2" t="s">
        <v>681</v>
      </c>
      <c r="C307" s="2" t="s">
        <v>682</v>
      </c>
      <c r="D307" s="1">
        <v>9038517010</v>
      </c>
    </row>
    <row r="308" spans="1:4">
      <c r="A308" s="1">
        <v>48651</v>
      </c>
      <c r="B308" s="2" t="s">
        <v>683</v>
      </c>
      <c r="C308" s="2" t="s">
        <v>684</v>
      </c>
      <c r="D308" s="1">
        <v>9038717362</v>
      </c>
    </row>
    <row r="309" spans="1:4">
      <c r="A309" s="1">
        <v>48676</v>
      </c>
      <c r="B309" s="2" t="s">
        <v>685</v>
      </c>
      <c r="C309" s="2" t="s">
        <v>686</v>
      </c>
      <c r="D309" s="1">
        <v>9038717400</v>
      </c>
    </row>
    <row r="310" spans="1:4">
      <c r="A310" s="1">
        <v>48726</v>
      </c>
      <c r="B310" s="2" t="s">
        <v>687</v>
      </c>
      <c r="C310" s="2" t="s">
        <v>688</v>
      </c>
      <c r="D310" s="1">
        <v>9038835624</v>
      </c>
    </row>
    <row r="311" spans="1:4">
      <c r="A311" s="1">
        <v>48647</v>
      </c>
      <c r="B311" s="2" t="s">
        <v>689</v>
      </c>
      <c r="C311" s="2" t="s">
        <v>690</v>
      </c>
      <c r="D311" s="1">
        <v>9038835632</v>
      </c>
    </row>
    <row r="312" spans="1:4">
      <c r="A312" s="1">
        <v>48696</v>
      </c>
      <c r="B312" s="2" t="s">
        <v>691</v>
      </c>
      <c r="C312" s="2" t="s">
        <v>692</v>
      </c>
      <c r="D312" s="1">
        <v>9038835640</v>
      </c>
    </row>
    <row r="313" spans="1:4">
      <c r="A313" s="1">
        <v>48692</v>
      </c>
      <c r="B313" s="2" t="s">
        <v>693</v>
      </c>
      <c r="C313" s="2" t="s">
        <v>694</v>
      </c>
      <c r="D313" s="1">
        <v>9038835659</v>
      </c>
    </row>
    <row r="314" spans="1:4">
      <c r="A314" s="1">
        <v>48693</v>
      </c>
      <c r="B314" s="2" t="s">
        <v>695</v>
      </c>
      <c r="C314" s="2" t="s">
        <v>696</v>
      </c>
      <c r="D314" s="1">
        <v>9038835667</v>
      </c>
    </row>
    <row r="315" spans="1:4">
      <c r="A315" s="1">
        <v>48697</v>
      </c>
      <c r="B315" s="2" t="s">
        <v>697</v>
      </c>
      <c r="C315" s="2" t="s">
        <v>698</v>
      </c>
      <c r="D315" s="1">
        <v>9038835691</v>
      </c>
    </row>
    <row r="316" spans="1:4">
      <c r="A316" s="1">
        <v>48691</v>
      </c>
      <c r="B316" s="2" t="s">
        <v>699</v>
      </c>
      <c r="C316" s="2" t="s">
        <v>700</v>
      </c>
      <c r="D316" s="1">
        <v>9038835705</v>
      </c>
    </row>
    <row r="317" spans="1:4">
      <c r="A317" s="1">
        <v>48687</v>
      </c>
      <c r="B317" s="2" t="s">
        <v>701</v>
      </c>
      <c r="C317" s="2" t="s">
        <v>702</v>
      </c>
      <c r="D317" s="1">
        <v>9038835713</v>
      </c>
    </row>
    <row r="318" spans="1:4">
      <c r="A318" s="1">
        <v>48744</v>
      </c>
      <c r="B318" s="2" t="s">
        <v>703</v>
      </c>
      <c r="C318" s="2" t="s">
        <v>704</v>
      </c>
      <c r="D318" s="1">
        <v>9038950768</v>
      </c>
    </row>
    <row r="319" spans="1:4">
      <c r="A319" s="1">
        <v>48729</v>
      </c>
      <c r="B319" s="2" t="s">
        <v>705</v>
      </c>
      <c r="C319" s="2" t="s">
        <v>706</v>
      </c>
      <c r="D319" s="1">
        <v>9038950784</v>
      </c>
    </row>
    <row r="320" spans="1:4">
      <c r="A320" s="1">
        <v>48732</v>
      </c>
      <c r="B320" s="2" t="s">
        <v>707</v>
      </c>
      <c r="C320" s="2" t="s">
        <v>708</v>
      </c>
      <c r="D320" s="1">
        <v>9038950792</v>
      </c>
    </row>
    <row r="321" spans="1:4">
      <c r="A321" s="1">
        <v>48731</v>
      </c>
      <c r="B321" s="2" t="s">
        <v>709</v>
      </c>
      <c r="C321" s="2" t="s">
        <v>710</v>
      </c>
      <c r="D321" s="1">
        <v>9038967318</v>
      </c>
    </row>
    <row r="322" spans="1:4">
      <c r="A322" s="1">
        <v>48750</v>
      </c>
      <c r="B322" s="2" t="s">
        <v>711</v>
      </c>
      <c r="C322" s="2" t="s">
        <v>712</v>
      </c>
      <c r="D322" s="1">
        <v>9039031634</v>
      </c>
    </row>
    <row r="323" spans="1:4">
      <c r="A323" s="1">
        <v>48755</v>
      </c>
      <c r="B323" s="2" t="s">
        <v>713</v>
      </c>
      <c r="C323" s="2" t="s">
        <v>714</v>
      </c>
      <c r="D323" s="1">
        <v>9039295917</v>
      </c>
    </row>
    <row r="324" spans="1:4">
      <c r="A324" s="1">
        <v>48757</v>
      </c>
      <c r="B324" s="2" t="s">
        <v>715</v>
      </c>
      <c r="C324" s="2" t="s">
        <v>716</v>
      </c>
      <c r="D324" s="1">
        <v>9039295925</v>
      </c>
    </row>
    <row r="325" spans="1:4">
      <c r="A325" s="1">
        <v>48764</v>
      </c>
      <c r="B325" s="2" t="s">
        <v>717</v>
      </c>
      <c r="C325" s="2" t="s">
        <v>718</v>
      </c>
      <c r="D325" s="1">
        <v>9039463135</v>
      </c>
    </row>
    <row r="326" spans="1:4">
      <c r="A326" s="1">
        <v>48779</v>
      </c>
      <c r="B326" s="2" t="s">
        <v>719</v>
      </c>
      <c r="C326" s="2" t="s">
        <v>720</v>
      </c>
      <c r="D326" s="1">
        <v>9039784055</v>
      </c>
    </row>
    <row r="327" spans="1:4">
      <c r="A327" s="1">
        <v>48782</v>
      </c>
      <c r="B327" s="2" t="s">
        <v>721</v>
      </c>
      <c r="C327" s="2" t="s">
        <v>722</v>
      </c>
      <c r="D327" s="1">
        <v>9039784071</v>
      </c>
    </row>
    <row r="328" spans="1:4">
      <c r="A328" s="1">
        <v>48792</v>
      </c>
      <c r="B328" s="2" t="s">
        <v>723</v>
      </c>
      <c r="C328" s="2" t="s">
        <v>724</v>
      </c>
      <c r="D328" s="1">
        <v>9039784101</v>
      </c>
    </row>
    <row r="329" spans="1:4">
      <c r="A329" s="1">
        <v>48791</v>
      </c>
      <c r="B329" s="2" t="s">
        <v>725</v>
      </c>
      <c r="C329" s="2" t="s">
        <v>726</v>
      </c>
      <c r="D329" s="1">
        <v>9039784128</v>
      </c>
    </row>
    <row r="330" spans="1:4">
      <c r="A330" s="1">
        <v>48829</v>
      </c>
      <c r="B330" s="2" t="s">
        <v>727</v>
      </c>
      <c r="C330" s="2" t="s">
        <v>728</v>
      </c>
      <c r="D330" s="1">
        <v>9039784136</v>
      </c>
    </row>
    <row r="331" spans="1:4">
      <c r="A331" s="1">
        <v>48790</v>
      </c>
      <c r="B331" s="2" t="s">
        <v>729</v>
      </c>
      <c r="C331" s="2" t="s">
        <v>730</v>
      </c>
      <c r="D331" s="1">
        <v>9039920919</v>
      </c>
    </row>
    <row r="332" spans="1:4">
      <c r="A332" s="1">
        <v>48781</v>
      </c>
      <c r="B332" s="2" t="s">
        <v>731</v>
      </c>
      <c r="C332" s="2" t="s">
        <v>732</v>
      </c>
      <c r="D332" s="1">
        <v>9039920927</v>
      </c>
    </row>
    <row r="333" spans="1:4">
      <c r="A333" s="1">
        <v>48881</v>
      </c>
      <c r="B333" s="2" t="s">
        <v>733</v>
      </c>
      <c r="C333" s="2" t="s">
        <v>734</v>
      </c>
      <c r="D333" s="1">
        <v>9039920935</v>
      </c>
    </row>
    <row r="334" spans="1:4">
      <c r="A334" s="1">
        <v>48774</v>
      </c>
      <c r="B334" s="2" t="s">
        <v>735</v>
      </c>
      <c r="C334" s="2" t="s">
        <v>736</v>
      </c>
      <c r="D334" s="1">
        <v>9039968555</v>
      </c>
    </row>
    <row r="335" spans="1:4">
      <c r="A335" s="1">
        <v>48921</v>
      </c>
      <c r="B335" s="2" t="s">
        <v>737</v>
      </c>
      <c r="C335" s="2" t="s">
        <v>738</v>
      </c>
      <c r="D335" s="1">
        <v>9040053765</v>
      </c>
    </row>
    <row r="336" spans="1:4">
      <c r="A336" s="1">
        <v>48910</v>
      </c>
      <c r="B336" s="2" t="s">
        <v>739</v>
      </c>
      <c r="C336" s="2" t="s">
        <v>740</v>
      </c>
      <c r="D336" s="1">
        <v>9040053773</v>
      </c>
    </row>
    <row r="337" spans="1:4">
      <c r="A337" s="1">
        <v>48853</v>
      </c>
      <c r="B337" s="2" t="s">
        <v>741</v>
      </c>
      <c r="C337" s="2" t="s">
        <v>742</v>
      </c>
      <c r="D337" s="1">
        <v>9040060141</v>
      </c>
    </row>
    <row r="338" spans="1:4">
      <c r="A338" s="1">
        <v>48934</v>
      </c>
      <c r="B338" s="2" t="s">
        <v>743</v>
      </c>
      <c r="C338" s="2" t="s">
        <v>744</v>
      </c>
      <c r="D338" s="1">
        <v>9040389577</v>
      </c>
    </row>
    <row r="339" spans="1:4">
      <c r="A339" s="1">
        <v>48933</v>
      </c>
      <c r="B339" s="2" t="s">
        <v>745</v>
      </c>
      <c r="C339" s="2" t="s">
        <v>746</v>
      </c>
      <c r="D339" s="1">
        <v>9040389585</v>
      </c>
    </row>
    <row r="340" spans="1:4">
      <c r="A340" s="1">
        <v>48935</v>
      </c>
      <c r="B340" s="2" t="s">
        <v>747</v>
      </c>
      <c r="C340" s="2" t="s">
        <v>748</v>
      </c>
      <c r="D340" s="1">
        <v>9040389615</v>
      </c>
    </row>
    <row r="341" spans="1:4">
      <c r="A341" s="1">
        <v>48940</v>
      </c>
      <c r="B341" s="2" t="s">
        <v>749</v>
      </c>
      <c r="C341" s="2" t="s">
        <v>750</v>
      </c>
      <c r="D341" s="1">
        <v>9040606098</v>
      </c>
    </row>
    <row r="342" spans="1:4">
      <c r="A342" s="1">
        <v>48941</v>
      </c>
      <c r="B342" s="2" t="s">
        <v>751</v>
      </c>
      <c r="C342" s="2" t="s">
        <v>752</v>
      </c>
      <c r="D342" s="1">
        <v>9040606101</v>
      </c>
    </row>
    <row r="343" spans="1:4">
      <c r="A343" s="1">
        <v>48956</v>
      </c>
      <c r="B343" s="2" t="s">
        <v>753</v>
      </c>
      <c r="C343" s="2" t="s">
        <v>754</v>
      </c>
      <c r="D343" s="1">
        <v>9040751292</v>
      </c>
    </row>
    <row r="344" spans="1:4">
      <c r="A344" s="1">
        <v>48955</v>
      </c>
      <c r="B344" s="2" t="s">
        <v>755</v>
      </c>
      <c r="C344" s="2" t="s">
        <v>756</v>
      </c>
      <c r="D344" s="1">
        <v>9040751306</v>
      </c>
    </row>
    <row r="345" spans="1:4">
      <c r="A345" s="1">
        <v>48957</v>
      </c>
      <c r="B345" s="2" t="s">
        <v>757</v>
      </c>
      <c r="C345" s="2" t="s">
        <v>758</v>
      </c>
      <c r="D345" s="1">
        <v>9040792851</v>
      </c>
    </row>
    <row r="346" spans="1:4">
      <c r="A346" s="1">
        <v>48926</v>
      </c>
      <c r="B346" s="2" t="s">
        <v>759</v>
      </c>
      <c r="C346" s="2" t="s">
        <v>760</v>
      </c>
      <c r="D346" s="1">
        <v>9040848857</v>
      </c>
    </row>
    <row r="347" spans="1:4">
      <c r="A347" s="1">
        <v>48963</v>
      </c>
      <c r="B347" s="2" t="s">
        <v>761</v>
      </c>
      <c r="C347" s="2" t="s">
        <v>762</v>
      </c>
      <c r="D347" s="1">
        <v>9040853753</v>
      </c>
    </row>
    <row r="348" spans="1:4">
      <c r="A348" s="1">
        <v>79131</v>
      </c>
      <c r="B348" s="2" t="s">
        <v>763</v>
      </c>
      <c r="C348" s="2" t="s">
        <v>764</v>
      </c>
      <c r="D348" s="1">
        <v>9041806945</v>
      </c>
    </row>
    <row r="349" spans="1:4">
      <c r="A349" s="1">
        <v>79130</v>
      </c>
      <c r="B349" s="2" t="s">
        <v>765</v>
      </c>
      <c r="C349" s="2" t="s">
        <v>766</v>
      </c>
      <c r="D349" s="1">
        <v>9041806961</v>
      </c>
    </row>
    <row r="350" spans="1:4">
      <c r="A350" s="1">
        <v>79138</v>
      </c>
      <c r="B350" s="2" t="s">
        <v>767</v>
      </c>
      <c r="C350" s="2" t="s">
        <v>768</v>
      </c>
      <c r="D350" s="1">
        <v>9041806996</v>
      </c>
    </row>
    <row r="351" spans="1:4">
      <c r="A351" s="1">
        <v>79137</v>
      </c>
      <c r="B351" s="2" t="s">
        <v>769</v>
      </c>
      <c r="C351" s="2" t="s">
        <v>770</v>
      </c>
      <c r="D351" s="1">
        <v>9041807011</v>
      </c>
    </row>
    <row r="352" spans="1:4">
      <c r="A352" s="1">
        <v>79139</v>
      </c>
      <c r="B352" s="2" t="s">
        <v>771</v>
      </c>
      <c r="C352" s="2" t="s">
        <v>772</v>
      </c>
      <c r="D352" s="1">
        <v>9041807038</v>
      </c>
    </row>
    <row r="353" spans="1:4">
      <c r="A353" s="1">
        <v>79102</v>
      </c>
      <c r="B353" s="2" t="s">
        <v>773</v>
      </c>
      <c r="C353" s="2" t="s">
        <v>774</v>
      </c>
      <c r="D353" s="1">
        <v>9041807054</v>
      </c>
    </row>
    <row r="354" spans="1:4">
      <c r="A354" s="1">
        <v>49058</v>
      </c>
      <c r="B354" s="2" t="s">
        <v>775</v>
      </c>
      <c r="C354" s="2" t="s">
        <v>776</v>
      </c>
      <c r="D354" s="1">
        <v>9041807089</v>
      </c>
    </row>
    <row r="355" spans="1:4">
      <c r="A355" s="1">
        <v>69101</v>
      </c>
      <c r="B355" s="2" t="s">
        <v>777</v>
      </c>
      <c r="C355" s="2" t="s">
        <v>778</v>
      </c>
      <c r="D355" s="1">
        <v>9041807097</v>
      </c>
    </row>
    <row r="356" spans="1:4">
      <c r="A356" s="1">
        <v>49054</v>
      </c>
      <c r="B356" s="2" t="s">
        <v>779</v>
      </c>
      <c r="C356" s="2" t="s">
        <v>780</v>
      </c>
      <c r="D356" s="1">
        <v>9041828124</v>
      </c>
    </row>
    <row r="357" spans="1:4">
      <c r="A357" s="1">
        <v>48966</v>
      </c>
      <c r="B357" s="2" t="s">
        <v>781</v>
      </c>
      <c r="C357" s="2" t="s">
        <v>782</v>
      </c>
      <c r="D357" s="1">
        <v>9041828167</v>
      </c>
    </row>
    <row r="358" spans="1:4">
      <c r="A358" s="1">
        <v>48985</v>
      </c>
      <c r="B358" s="2" t="s">
        <v>783</v>
      </c>
      <c r="C358" s="2" t="s">
        <v>784</v>
      </c>
      <c r="D358" s="1">
        <v>9041850928</v>
      </c>
    </row>
    <row r="359" spans="1:4">
      <c r="A359" s="1">
        <v>49053</v>
      </c>
      <c r="B359" s="2" t="s">
        <v>785</v>
      </c>
      <c r="C359" s="2" t="s">
        <v>786</v>
      </c>
      <c r="D359" s="1">
        <v>9041850936</v>
      </c>
    </row>
    <row r="360" spans="1:4">
      <c r="A360" s="1">
        <v>79104</v>
      </c>
      <c r="B360" s="2" t="s">
        <v>787</v>
      </c>
      <c r="C360" s="2" t="s">
        <v>788</v>
      </c>
      <c r="D360" s="1">
        <v>9041978207</v>
      </c>
    </row>
    <row r="361" spans="1:4">
      <c r="A361" s="1">
        <v>79149</v>
      </c>
      <c r="B361" s="2" t="s">
        <v>789</v>
      </c>
      <c r="C361" s="2" t="s">
        <v>790</v>
      </c>
      <c r="D361" s="1">
        <v>9041978215</v>
      </c>
    </row>
    <row r="362" spans="1:4">
      <c r="A362" s="1">
        <v>79154</v>
      </c>
      <c r="B362" s="2" t="s">
        <v>791</v>
      </c>
      <c r="C362" s="2" t="s">
        <v>792</v>
      </c>
      <c r="D362" s="1">
        <v>9041978223</v>
      </c>
    </row>
    <row r="363" spans="1:4">
      <c r="A363" s="1">
        <v>79147</v>
      </c>
      <c r="B363" s="2" t="s">
        <v>793</v>
      </c>
      <c r="C363" s="2" t="s">
        <v>794</v>
      </c>
      <c r="D363" s="1">
        <v>9041978258</v>
      </c>
    </row>
    <row r="364" spans="1:4">
      <c r="A364" s="1">
        <v>79146</v>
      </c>
      <c r="B364" s="2" t="s">
        <v>795</v>
      </c>
      <c r="C364" s="2" t="s">
        <v>796</v>
      </c>
      <c r="D364" s="1">
        <v>9041978266</v>
      </c>
    </row>
    <row r="365" spans="1:4">
      <c r="A365" s="1">
        <v>79157</v>
      </c>
      <c r="B365" s="2" t="s">
        <v>797</v>
      </c>
      <c r="C365" s="2" t="s">
        <v>798</v>
      </c>
      <c r="D365" s="1">
        <v>9041978274</v>
      </c>
    </row>
    <row r="366" spans="1:4">
      <c r="A366" s="1">
        <v>79148</v>
      </c>
      <c r="B366" s="2" t="s">
        <v>799</v>
      </c>
      <c r="C366" s="2" t="s">
        <v>800</v>
      </c>
      <c r="D366" s="1">
        <v>9041978282</v>
      </c>
    </row>
    <row r="367" spans="1:4">
      <c r="A367" s="1">
        <v>79151</v>
      </c>
      <c r="B367" s="2" t="s">
        <v>801</v>
      </c>
      <c r="C367" s="2" t="s">
        <v>802</v>
      </c>
      <c r="D367" s="1">
        <v>9041978290</v>
      </c>
    </row>
    <row r="368" spans="1:4">
      <c r="A368" s="1">
        <v>79169</v>
      </c>
      <c r="B368" s="2" t="s">
        <v>803</v>
      </c>
      <c r="C368" s="2" t="s">
        <v>804</v>
      </c>
      <c r="D368" s="1">
        <v>9042077475</v>
      </c>
    </row>
    <row r="369" spans="1:4">
      <c r="A369" s="1">
        <v>79145</v>
      </c>
      <c r="B369" s="2" t="s">
        <v>805</v>
      </c>
      <c r="C369" s="2" t="s">
        <v>806</v>
      </c>
      <c r="D369" s="1">
        <v>9042210361</v>
      </c>
    </row>
    <row r="370" spans="1:4">
      <c r="A370" s="1">
        <v>79142</v>
      </c>
      <c r="B370" s="2" t="s">
        <v>807</v>
      </c>
      <c r="C370" s="2" t="s">
        <v>808</v>
      </c>
      <c r="D370" s="1">
        <v>9042210396</v>
      </c>
    </row>
    <row r="371" spans="1:4">
      <c r="A371" s="1">
        <v>79150</v>
      </c>
      <c r="B371" s="2" t="s">
        <v>809</v>
      </c>
      <c r="C371" s="2" t="s">
        <v>810</v>
      </c>
      <c r="D371" s="1">
        <v>9042210426</v>
      </c>
    </row>
    <row r="372" spans="1:4">
      <c r="A372" s="1">
        <v>79155</v>
      </c>
      <c r="B372" s="2" t="s">
        <v>811</v>
      </c>
      <c r="C372" s="2" t="s">
        <v>812</v>
      </c>
      <c r="D372" s="1">
        <v>9042210442</v>
      </c>
    </row>
    <row r="373" spans="1:4">
      <c r="A373" s="1">
        <v>79176</v>
      </c>
      <c r="B373" s="2" t="s">
        <v>813</v>
      </c>
      <c r="C373" s="2" t="s">
        <v>814</v>
      </c>
      <c r="D373" s="1">
        <v>9042300921</v>
      </c>
    </row>
    <row r="374" spans="1:4">
      <c r="A374" s="1">
        <v>79219</v>
      </c>
      <c r="B374" s="2" t="s">
        <v>815</v>
      </c>
      <c r="C374" s="2" t="s">
        <v>816</v>
      </c>
      <c r="D374" s="1">
        <v>9042308175</v>
      </c>
    </row>
    <row r="375" spans="1:4">
      <c r="A375" s="1">
        <v>49085</v>
      </c>
      <c r="B375" s="2" t="s">
        <v>817</v>
      </c>
      <c r="C375" s="2" t="s">
        <v>818</v>
      </c>
      <c r="D375" s="1">
        <v>9042975260</v>
      </c>
    </row>
    <row r="376" spans="1:4">
      <c r="A376" s="1">
        <v>79164</v>
      </c>
      <c r="B376" s="2" t="s">
        <v>819</v>
      </c>
      <c r="C376" s="2" t="s">
        <v>820</v>
      </c>
      <c r="D376" s="1">
        <v>9042975287</v>
      </c>
    </row>
    <row r="377" spans="1:4">
      <c r="A377" s="1">
        <v>79224</v>
      </c>
      <c r="B377" s="2" t="s">
        <v>821</v>
      </c>
      <c r="C377" s="2" t="s">
        <v>822</v>
      </c>
      <c r="D377" s="1">
        <v>9042975309</v>
      </c>
    </row>
    <row r="378" spans="1:4">
      <c r="A378" s="1">
        <v>79237</v>
      </c>
      <c r="B378" s="2" t="s">
        <v>823</v>
      </c>
      <c r="C378" s="2" t="s">
        <v>824</v>
      </c>
      <c r="D378" s="1">
        <v>9043032572</v>
      </c>
    </row>
    <row r="379" spans="1:4">
      <c r="A379" s="1">
        <v>79264</v>
      </c>
      <c r="B379" s="2" t="s">
        <v>825</v>
      </c>
      <c r="C379" s="2" t="s">
        <v>826</v>
      </c>
      <c r="D379" s="1">
        <v>9043808430</v>
      </c>
    </row>
    <row r="380" spans="1:4">
      <c r="A380" s="1">
        <v>79260</v>
      </c>
      <c r="B380" s="2" t="s">
        <v>827</v>
      </c>
      <c r="C380" s="2" t="s">
        <v>828</v>
      </c>
      <c r="D380" s="1">
        <v>9043808449</v>
      </c>
    </row>
    <row r="381" spans="1:4">
      <c r="A381" s="1">
        <v>79257</v>
      </c>
      <c r="B381" s="2" t="s">
        <v>829</v>
      </c>
      <c r="C381" s="2" t="s">
        <v>830</v>
      </c>
      <c r="D381" s="1">
        <v>9043808457</v>
      </c>
    </row>
    <row r="382" spans="1:4">
      <c r="A382" s="1">
        <v>79256</v>
      </c>
      <c r="B382" s="2" t="s">
        <v>831</v>
      </c>
      <c r="C382" s="2" t="s">
        <v>832</v>
      </c>
      <c r="D382" s="1">
        <v>9043808465</v>
      </c>
    </row>
    <row r="383" spans="1:4">
      <c r="A383" s="1">
        <v>79259</v>
      </c>
      <c r="B383" s="2" t="s">
        <v>833</v>
      </c>
      <c r="C383" s="2" t="s">
        <v>834</v>
      </c>
      <c r="D383" s="1">
        <v>9043808473</v>
      </c>
    </row>
    <row r="384" spans="1:4">
      <c r="A384" s="1">
        <v>79265</v>
      </c>
      <c r="B384" s="2" t="s">
        <v>835</v>
      </c>
      <c r="C384" s="2" t="s">
        <v>836</v>
      </c>
      <c r="D384" s="1">
        <v>9044023461</v>
      </c>
    </row>
    <row r="385" spans="1:4">
      <c r="A385" s="1">
        <v>79266</v>
      </c>
      <c r="B385" s="2" t="s">
        <v>837</v>
      </c>
      <c r="C385" s="2" t="s">
        <v>838</v>
      </c>
      <c r="D385" s="1">
        <v>9044023488</v>
      </c>
    </row>
    <row r="386" spans="1:4">
      <c r="A386" s="1">
        <v>79330</v>
      </c>
      <c r="B386" s="2" t="s">
        <v>839</v>
      </c>
      <c r="C386" s="2" t="s">
        <v>840</v>
      </c>
      <c r="D386" s="1">
        <v>9044411038</v>
      </c>
    </row>
    <row r="387" spans="1:4">
      <c r="A387" s="1">
        <v>79310</v>
      </c>
      <c r="B387" s="2" t="s">
        <v>841</v>
      </c>
      <c r="C387" s="2" t="s">
        <v>842</v>
      </c>
      <c r="D387" s="1">
        <v>9044411046</v>
      </c>
    </row>
    <row r="388" spans="1:4">
      <c r="A388" s="1">
        <v>79309</v>
      </c>
      <c r="B388" s="2" t="s">
        <v>843</v>
      </c>
      <c r="C388" s="2" t="s">
        <v>844</v>
      </c>
      <c r="D388" s="1">
        <v>9044411062</v>
      </c>
    </row>
    <row r="389" spans="1:4">
      <c r="A389" s="1">
        <v>79291</v>
      </c>
      <c r="B389" s="2" t="s">
        <v>845</v>
      </c>
      <c r="C389" s="2" t="s">
        <v>846</v>
      </c>
      <c r="D389" s="1">
        <v>9044452818</v>
      </c>
    </row>
    <row r="390" spans="1:4">
      <c r="A390" s="1">
        <v>79311</v>
      </c>
      <c r="B390" s="2" t="s">
        <v>847</v>
      </c>
      <c r="C390" s="2" t="s">
        <v>848</v>
      </c>
      <c r="D390" s="1">
        <v>9044452834</v>
      </c>
    </row>
    <row r="391" spans="1:4">
      <c r="A391" s="1">
        <v>79329</v>
      </c>
      <c r="B391" s="2" t="s">
        <v>849</v>
      </c>
      <c r="C391" s="2" t="s">
        <v>850</v>
      </c>
      <c r="D391" s="1">
        <v>9044452850</v>
      </c>
    </row>
    <row r="392" spans="1:4">
      <c r="A392" s="1">
        <v>79285</v>
      </c>
      <c r="B392" s="2" t="s">
        <v>851</v>
      </c>
      <c r="C392" s="2" t="s">
        <v>852</v>
      </c>
      <c r="D392" s="1">
        <v>9044453016</v>
      </c>
    </row>
    <row r="393" spans="1:4">
      <c r="A393" s="1">
        <v>79290</v>
      </c>
      <c r="B393" s="2" t="s">
        <v>853</v>
      </c>
      <c r="C393" s="2" t="s">
        <v>854</v>
      </c>
      <c r="D393" s="1">
        <v>9044453024</v>
      </c>
    </row>
    <row r="394" spans="1:4">
      <c r="A394" s="1">
        <v>79284</v>
      </c>
      <c r="B394" s="2" t="s">
        <v>855</v>
      </c>
      <c r="C394" s="2" t="s">
        <v>856</v>
      </c>
      <c r="D394" s="1">
        <v>9044453032</v>
      </c>
    </row>
    <row r="395" spans="1:4">
      <c r="A395" s="1">
        <v>79349</v>
      </c>
      <c r="B395" s="2" t="s">
        <v>857</v>
      </c>
      <c r="C395" s="2" t="s">
        <v>858</v>
      </c>
      <c r="D395" s="1">
        <v>9044813551</v>
      </c>
    </row>
    <row r="396" spans="1:4">
      <c r="A396" s="1">
        <v>79348</v>
      </c>
      <c r="B396" s="2" t="s">
        <v>859</v>
      </c>
      <c r="C396" s="2" t="s">
        <v>860</v>
      </c>
      <c r="D396" s="1">
        <v>9044813578</v>
      </c>
    </row>
    <row r="397" spans="1:4">
      <c r="A397" s="1">
        <v>79347</v>
      </c>
      <c r="B397" s="2" t="s">
        <v>861</v>
      </c>
      <c r="C397" s="2" t="s">
        <v>862</v>
      </c>
      <c r="D397" s="1">
        <v>9044813594</v>
      </c>
    </row>
    <row r="398" spans="1:4">
      <c r="A398" s="1">
        <v>79356</v>
      </c>
      <c r="B398" s="2" t="s">
        <v>863</v>
      </c>
      <c r="C398" s="2" t="s">
        <v>864</v>
      </c>
      <c r="D398" s="1">
        <v>9044952950</v>
      </c>
    </row>
    <row r="399" spans="1:4">
      <c r="C399" s="7" t="s">
        <v>865</v>
      </c>
      <c r="D399" s="1">
        <v>9047070029</v>
      </c>
    </row>
    <row r="400" spans="1:4">
      <c r="C400" s="2" t="s">
        <v>866</v>
      </c>
      <c r="D400" s="1" t="s">
        <v>867</v>
      </c>
    </row>
  </sheetData>
  <conditionalFormatting sqref="C399">
    <cfRule type="duplicateValues" dxfId="3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1.C. FT (OLASI)</vt:lpstr>
      <vt:lpstr>1.A. Loan Calculators(JACINTO)</vt:lpstr>
      <vt:lpstr>1.B. Loan-JACINTO</vt:lpstr>
      <vt:lpstr>1.C. FT (JACINTO)</vt:lpstr>
      <vt:lpstr>1. D Checks (JACINTO)</vt:lpstr>
      <vt:lpstr>Summary (LOANS)</vt:lpstr>
      <vt:lpstr>RCBC Acct No.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LEIMPCO Cooperative</dc:creator>
  <cp:lastModifiedBy>USER</cp:lastModifiedBy>
  <dcterms:created xsi:type="dcterms:W3CDTF">2025-04-22T09:50:00Z</dcterms:created>
  <cp:lastPrinted>2025-07-09T01:24:00Z</cp:lastPrinted>
  <dcterms:modified xsi:type="dcterms:W3CDTF">2026-09-01T07:28:36Z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37433D0B660B43FBBB25AFA3863D148D_12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